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8_{57E2A5E2-BEBC-4A4C-AFB4-AC4625EAF258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a="1"/>
  <c r="W74" i="6"/>
  <c r="J74" i="6" a="1"/>
  <c r="J74" i="6"/>
  <c r="V74" i="6" a="1"/>
  <c r="V74" i="6"/>
  <c r="P74" i="6" a="1"/>
  <c r="P74" i="6"/>
  <c r="I74" i="6" a="1"/>
  <c r="I74" i="6"/>
  <c r="O74" i="6" a="1"/>
  <c r="O74" i="6"/>
  <c r="G74" i="6" a="1"/>
  <c r="G74" i="6"/>
  <c r="M74" i="6" a="1"/>
  <c r="M74" i="6"/>
  <c r="L74" i="6" a="1"/>
  <c r="L74" i="6"/>
  <c r="Q74" i="6" a="1"/>
  <c r="Q74" i="6"/>
  <c r="N74" i="6" a="1"/>
  <c r="N74" i="6"/>
  <c r="Z74" i="6" a="1"/>
  <c r="Z74" i="6"/>
  <c r="T74" i="6" a="1"/>
  <c r="T74" i="6"/>
  <c r="K74" i="6" a="1"/>
  <c r="K74" i="6"/>
  <c r="H74" i="6" a="1"/>
  <c r="H74" i="6"/>
  <c r="X74" i="6" a="1"/>
  <c r="X74" i="6"/>
  <c r="R74" i="6" a="1"/>
  <c r="R74" i="6"/>
  <c r="S74" i="6" a="1"/>
  <c r="S74" i="6"/>
  <c r="Y74" i="6" a="1"/>
  <c r="Y74" i="6"/>
  <c r="U74" i="6" a="1"/>
  <c r="U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<sst xmlns="http://schemas.openxmlformats.org/spreadsheetml/2006/main" count="1303" uniqueCount="143">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</sst>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0">
  <autoFilter ref="A4:B20" xr:uid="{49FA96F6-1C29-4184-8466-79C03B42EAD6}"/>
  <tableColumns count="2">
    <tableColumn id="1" xr3:uid="{377F1B03-9BE9-462A-A1BC-1F8EE6567180}" name="Participantes" dataDxfId="9"/>
    <tableColumn id="3" xr3:uid="{EF301B8F-51D1-4897-A7D7-3E56DAA9D6FC}" name="Pago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3" t="s">
        <v>0</v>
      </c>
      <c r="B1" s="143"/>
      <c r="C1" s="13"/>
      <c r="D1" s="13"/>
      <c r="E1" s="13"/>
      <c r="F1" s="13"/>
      <c r="G1" s="13"/>
      <c r="H1" s="13"/>
    </row>
    <row r="2" spans="1:8" ht="15" customHeight="1" x14ac:dyDescent="0.25">
      <c r="A2" s="143"/>
      <c r="B2" s="143"/>
      <c r="C2" s="13"/>
      <c r="D2" s="13"/>
      <c r="E2" s="13"/>
      <c r="F2" s="13"/>
      <c r="G2" s="13"/>
      <c r="H2" s="13"/>
    </row>
    <row r="3" spans="1:8" ht="15" customHeight="1" x14ac:dyDescent="0.25">
      <c r="A3" s="143"/>
      <c r="B3" s="143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7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44" t="s">
        <v>20</v>
      </c>
      <c r="B1" s="145"/>
      <c r="C1" s="145"/>
      <c r="D1" s="145"/>
      <c r="E1" s="145"/>
      <c r="F1" s="145"/>
      <c r="G1" s="145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6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D1" zoomScaleNormal="100" workbookViewId="0">
      <pane ySplit="1" topLeftCell="A25" activePane="bottomLeft" state="frozen"/>
      <selection activeCell="B1" sqref="B1"/>
      <selection pane="bottomLeft" activeCell="L104" sqref="L10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6"/>
      <c r="G1" s="99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35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17"/>
      <c r="G2" s="100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36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18"/>
      <c r="G3" s="98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37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17"/>
      <c r="G4" s="101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38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18"/>
      <c r="G5" s="98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2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17"/>
      <c r="G6" s="101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2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19"/>
      <c r="G7" s="100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2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20"/>
      <c r="G8" s="102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3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21"/>
      <c r="G9" s="103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31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17"/>
      <c r="G10" s="101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32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19"/>
      <c r="G11" s="100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33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20"/>
      <c r="G12" s="102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34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21"/>
      <c r="G13" s="103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2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17"/>
      <c r="G14" s="101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2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19"/>
      <c r="G15" s="100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2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20"/>
      <c r="G16" s="102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3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21"/>
      <c r="G17" s="103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31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17"/>
      <c r="G18" s="104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32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19"/>
      <c r="G19" s="100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33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20"/>
      <c r="G20" s="102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34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21"/>
      <c r="G21" s="105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27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17"/>
      <c r="G22" s="105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28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19"/>
      <c r="G23" s="100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29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20"/>
      <c r="G24" s="106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30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21"/>
      <c r="G25" s="107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31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17"/>
      <c r="G26" s="101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32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19"/>
      <c r="G27" s="100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33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20"/>
      <c r="G28" s="102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34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21"/>
      <c r="G29" s="103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27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17"/>
      <c r="G30" s="101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28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19"/>
      <c r="G31" s="100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29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20"/>
      <c r="G32" s="102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30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21"/>
      <c r="G33" s="103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31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17"/>
      <c r="G34" s="101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32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19"/>
      <c r="G35" s="100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33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20"/>
      <c r="G36" s="102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34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21"/>
      <c r="G37" s="103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27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17"/>
      <c r="G38" s="101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28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19"/>
      <c r="G39" s="100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29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20"/>
      <c r="G40" s="102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30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21"/>
      <c r="G41" s="103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31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17"/>
      <c r="G42" s="101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32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19"/>
      <c r="G43" s="100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33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20"/>
      <c r="G44" s="102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34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21"/>
      <c r="G45" s="103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27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17"/>
      <c r="G46" s="101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28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19"/>
      <c r="G47" s="100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29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20"/>
      <c r="G48" s="102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30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21"/>
      <c r="G49" s="103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31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22"/>
      <c r="G50" s="5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12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09">
        <f t="shared" si="5"/>
        <v>1</v>
      </c>
      <c r="AB50" s="86">
        <f t="shared" si="6"/>
        <v>0</v>
      </c>
      <c r="AC50" s="81" t="str">
        <f t="shared" si="4"/>
        <v>A</v>
      </c>
      <c r="AD50" s="53"/>
    </row>
    <row r="51" spans="1:30" ht="15.75" thickBot="1" x14ac:dyDescent="0.3">
      <c r="A51" s="132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142</v>
      </c>
      <c r="F51" s="123"/>
      <c r="G51" s="114" t="s">
        <v>45</v>
      </c>
      <c r="H51" s="64" t="s">
        <v>45</v>
      </c>
      <c r="I51" s="64" t="s">
        <v>45</v>
      </c>
      <c r="J51" s="64" t="s">
        <v>45</v>
      </c>
      <c r="K51" s="64" t="s">
        <v>45</v>
      </c>
      <c r="L51" s="64" t="s">
        <v>45</v>
      </c>
      <c r="M51" s="64" t="s">
        <v>45</v>
      </c>
      <c r="N51" s="64" t="s">
        <v>45</v>
      </c>
      <c r="O51" s="64" t="s">
        <v>45</v>
      </c>
      <c r="P51" s="64" t="s">
        <v>45</v>
      </c>
      <c r="Q51" s="110" t="s">
        <v>45</v>
      </c>
      <c r="R51" s="64" t="s">
        <v>45</v>
      </c>
      <c r="S51" s="64" t="s">
        <v>45</v>
      </c>
      <c r="T51" s="64" t="s">
        <v>46</v>
      </c>
      <c r="U51" s="64" t="s">
        <v>45</v>
      </c>
      <c r="V51" s="64" t="s">
        <v>45</v>
      </c>
      <c r="W51" s="64" t="s">
        <v>45</v>
      </c>
      <c r="X51" s="64" t="s">
        <v>45</v>
      </c>
      <c r="Y51" s="64" t="s">
        <v>45</v>
      </c>
      <c r="Z51" s="64" t="s">
        <v>45</v>
      </c>
      <c r="AA51" s="109">
        <f t="shared" si="5"/>
        <v>0</v>
      </c>
      <c r="AB51" s="86">
        <f t="shared" si="6"/>
        <v>3</v>
      </c>
      <c r="AC51" s="81" t="str">
        <f t="shared" si="4"/>
        <v>B</v>
      </c>
      <c r="AD51" s="53"/>
    </row>
    <row r="52" spans="1:30" ht="15.75" thickBot="1" x14ac:dyDescent="0.3">
      <c r="A52" s="133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24"/>
      <c r="G52" s="114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1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09">
        <f t="shared" si="5"/>
        <v>2</v>
      </c>
      <c r="AB52" s="86">
        <f t="shared" si="6"/>
        <v>1</v>
      </c>
      <c r="AC52" s="81" t="str">
        <f t="shared" si="4"/>
        <v>A</v>
      </c>
      <c r="AD52" s="53"/>
    </row>
    <row r="53" spans="1:30" ht="15.75" thickBot="1" x14ac:dyDescent="0.3">
      <c r="A53" s="133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24"/>
      <c r="G53" s="114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1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09">
        <f t="shared" si="5"/>
        <v>3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33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132</v>
      </c>
      <c r="F54" s="124"/>
      <c r="G54" s="114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1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09">
        <f t="shared" si="5"/>
        <v>4</v>
      </c>
      <c r="AB54" s="86">
        <f t="shared" si="6"/>
        <v>2</v>
      </c>
      <c r="AC54" s="81" t="str">
        <f t="shared" si="4"/>
        <v>A</v>
      </c>
      <c r="AD54" s="53"/>
    </row>
    <row r="55" spans="1:30" ht="15.75" thickBot="1" x14ac:dyDescent="0.3">
      <c r="A55" s="134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142</v>
      </c>
      <c r="F55" s="125"/>
      <c r="G55" s="115" t="s">
        <v>45</v>
      </c>
      <c r="H55" s="111" t="s">
        <v>45</v>
      </c>
      <c r="I55" s="111" t="s">
        <v>45</v>
      </c>
      <c r="J55" s="111" t="s">
        <v>45</v>
      </c>
      <c r="K55" s="111" t="s">
        <v>45</v>
      </c>
      <c r="L55" s="111" t="s">
        <v>45</v>
      </c>
      <c r="M55" s="111" t="s">
        <v>45</v>
      </c>
      <c r="N55" s="111" t="s">
        <v>45</v>
      </c>
      <c r="O55" s="111" t="s">
        <v>45</v>
      </c>
      <c r="P55" s="111" t="s">
        <v>45</v>
      </c>
      <c r="Q55" s="113" t="s">
        <v>45</v>
      </c>
      <c r="R55" s="111" t="s">
        <v>45</v>
      </c>
      <c r="S55" s="111" t="s">
        <v>45</v>
      </c>
      <c r="T55" s="111" t="s">
        <v>45</v>
      </c>
      <c r="U55" s="111" t="s">
        <v>45</v>
      </c>
      <c r="V55" s="111" t="s">
        <v>45</v>
      </c>
      <c r="W55" s="111" t="s">
        <v>45</v>
      </c>
      <c r="X55" s="111" t="s">
        <v>45</v>
      </c>
      <c r="Y55" s="111" t="s">
        <v>45</v>
      </c>
      <c r="Z55" s="111" t="s">
        <v>45</v>
      </c>
      <c r="AA55" s="109">
        <f t="shared" si="5"/>
        <v>0</v>
      </c>
      <c r="AB55" s="86">
        <f t="shared" si="6"/>
        <v>3</v>
      </c>
      <c r="AC55" s="81" t="str">
        <f t="shared" si="4"/>
        <v>B</v>
      </c>
      <c r="AD55" s="53"/>
    </row>
    <row r="56" spans="1:30" ht="15.75" thickBot="1" x14ac:dyDescent="0.3">
      <c r="A56" s="127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17"/>
      <c r="G56" s="100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55"/>
      <c r="V56" s="55"/>
      <c r="W56" s="55"/>
      <c r="X56" s="55"/>
      <c r="Y56" s="55"/>
      <c r="Z56" s="77"/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28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19"/>
      <c r="G57" s="100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55"/>
      <c r="V57" s="55"/>
      <c r="W57" s="55"/>
      <c r="X57" s="55"/>
      <c r="Y57" s="55"/>
      <c r="Z57" s="77"/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29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74</v>
      </c>
      <c r="F58" s="120"/>
      <c r="G58" s="102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5"/>
      <c r="V58" s="65"/>
      <c r="W58" s="65"/>
      <c r="X58" s="65"/>
      <c r="Y58" s="65"/>
      <c r="Z58" s="75"/>
      <c r="AA58" s="78" t="str">
        <f t="shared" si="5"/>
        <v/>
      </c>
      <c r="AB58" s="86" t="str">
        <f t="shared" si="6"/>
        <v/>
      </c>
      <c r="AC58" s="81" t="str">
        <f t="shared" si="4"/>
        <v/>
      </c>
      <c r="AD58" s="53"/>
    </row>
    <row r="59" spans="1:30" ht="15.75" thickBot="1" x14ac:dyDescent="0.3">
      <c r="A59" s="129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74</v>
      </c>
      <c r="F59" s="120"/>
      <c r="G59" s="102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5"/>
      <c r="V59" s="65"/>
      <c r="W59" s="65"/>
      <c r="X59" s="65"/>
      <c r="Y59" s="65"/>
      <c r="Z59" s="75"/>
      <c r="AA59" s="78" t="str">
        <f t="shared" si="5"/>
        <v/>
      </c>
      <c r="AB59" s="86" t="str">
        <f t="shared" si="6"/>
        <v/>
      </c>
      <c r="AC59" s="81" t="str">
        <f t="shared" si="4"/>
        <v/>
      </c>
      <c r="AD59" s="53"/>
    </row>
    <row r="60" spans="1:30" ht="15.75" thickBot="1" x14ac:dyDescent="0.3">
      <c r="A60" s="129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74</v>
      </c>
      <c r="F60" s="120"/>
      <c r="G60" s="102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5"/>
      <c r="V60" s="65"/>
      <c r="W60" s="65"/>
      <c r="X60" s="65"/>
      <c r="Y60" s="65"/>
      <c r="Z60" s="75"/>
      <c r="AA60" s="78" t="str">
        <f t="shared" si="5"/>
        <v/>
      </c>
      <c r="AB60" s="86" t="str">
        <f t="shared" si="6"/>
        <v/>
      </c>
      <c r="AC60" s="81" t="str">
        <f t="shared" si="4"/>
        <v/>
      </c>
      <c r="AD60" s="53"/>
    </row>
    <row r="61" spans="1:30" ht="15.75" thickBot="1" x14ac:dyDescent="0.3">
      <c r="A61" s="130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74</v>
      </c>
      <c r="F61" s="121"/>
      <c r="G61" s="103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8"/>
      <c r="V61" s="68"/>
      <c r="W61" s="68"/>
      <c r="X61" s="68"/>
      <c r="Y61" s="68"/>
      <c r="Z61" s="76"/>
      <c r="AA61" s="78" t="str">
        <f t="shared" si="5"/>
        <v/>
      </c>
      <c r="AB61" s="86" t="str">
        <f t="shared" si="6"/>
        <v/>
      </c>
      <c r="AC61" s="81" t="str">
        <f t="shared" si="4"/>
        <v/>
      </c>
      <c r="AD61" s="53"/>
    </row>
    <row r="62" spans="1:30" ht="15.75" thickBot="1" x14ac:dyDescent="0.3">
      <c r="A62" s="131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17"/>
      <c r="G62" s="101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32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19"/>
      <c r="G63" s="100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33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20"/>
      <c r="G64" s="102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33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20"/>
      <c r="G65" s="102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33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20"/>
      <c r="G66" s="102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34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21"/>
      <c r="G67" s="103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139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17"/>
      <c r="G68" s="101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140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19"/>
      <c r="G69" s="100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41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20"/>
      <c r="G70" s="102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41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20"/>
      <c r="G71" s="102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41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20"/>
      <c r="G72" s="102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42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26"/>
      <c r="G73" s="103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08" t="s">
        <v>129</v>
      </c>
      <c r="G74" s="71" cm="1">
        <f t="array" ref="G74">SUMPRODUCT(--(UPPER(G2:G73)=$AC$2:$AC$73),--($AC$2:$AC$73&lt;&gt;""))</f>
        <v>32</v>
      </c>
      <c r="H74" s="71" cm="1">
        <f t="array" ref="H74">SUMPRODUCT(--(UPPER(H2:H73)=$AC$2:$AC$73),--($AC$2:$AC$73&lt;&gt;""))</f>
        <v>32</v>
      </c>
      <c r="I74" s="71" cm="1">
        <f t="array" ref="I74">SUMPRODUCT(--(UPPER(I2:I73)=$AC$2:$AC$73),--($AC$2:$AC$73&lt;&gt;""))</f>
        <v>31</v>
      </c>
      <c r="J74" s="71" cm="1">
        <f t="array" ref="J74">SUMPRODUCT(--(UPPER(J2:J73)=$AC$2:$AC$73),--($AC$2:$AC$73&lt;&gt;""))</f>
        <v>33</v>
      </c>
      <c r="K74" s="71" cm="1">
        <f t="array" ref="K74">SUMPRODUCT(--(UPPER(K2:K73)=$AC$2:$AC$73),--($AC$2:$AC$73&lt;&gt;""))</f>
        <v>31</v>
      </c>
      <c r="L74" s="71" cm="1">
        <f t="array" ref="L74">SUMPRODUCT(--(UPPER(L2:L73)=$AC$2:$AC$73),--($AC$2:$AC$73&lt;&gt;""))</f>
        <v>31</v>
      </c>
      <c r="M74" s="71" cm="1">
        <f t="array" ref="M74">SUMPRODUCT(--(UPPER(M2:M73)=$AC$2:$AC$73),--($AC$2:$AC$73&lt;&gt;""))</f>
        <v>34</v>
      </c>
      <c r="N74" s="71" cm="1">
        <f t="array" ref="N74">SUMPRODUCT(--(UPPER(N2:N73)=$AC$2:$AC$73),--($AC$2:$AC$73&lt;&gt;""))</f>
        <v>36</v>
      </c>
      <c r="O74" s="71" cm="1">
        <f t="array" ref="O74">SUMPRODUCT(--(UPPER(O2:O73)=$AC$2:$AC$73),--($AC$2:$AC$73&lt;&gt;""))</f>
        <v>30</v>
      </c>
      <c r="P74" s="71" cm="1">
        <f t="array" ref="P74">SUMPRODUCT(--(UPPER(P2:P73)=$AC$2:$AC$73),--($AC$2:$AC$73&lt;&gt;""))</f>
        <v>34</v>
      </c>
      <c r="Q74" s="71" cm="1">
        <f t="array" ref="Q74">SUMPRODUCT(--(UPPER(Q2:Q73)=$AC$2:$AC$73),--($AC$2:$AC$73&lt;&gt;""))</f>
        <v>30</v>
      </c>
      <c r="R74" s="71" cm="1">
        <f t="array" ref="R74">SUMPRODUCT(--(UPPER(R2:R73)=$AC$2:$AC$73),--($AC$2:$AC$73&lt;&gt;""))</f>
        <v>28</v>
      </c>
      <c r="S74" s="71" cm="1">
        <f t="array" ref="S74">SUMPRODUCT(--(UPPER(S2:S73)=$AC$2:$AC$73),--($AC$2:$AC$73&lt;&gt;""))</f>
        <v>25</v>
      </c>
      <c r="T74" s="71" cm="1">
        <f t="array" ref="T74">SUMPRODUCT(--(UPPER(T2:T73)=$AC$2:$AC$73),--($AC$2:$AC$73&lt;&gt;""))</f>
        <v>26</v>
      </c>
      <c r="U74" s="71" cm="1">
        <f t="array" ref="U74">SUMPRODUCT(--(UPPER(U2:U73)=$AC$2:$AC$73),--($AC$2:$AC$73&lt;&gt;""))</f>
        <v>32</v>
      </c>
      <c r="V74" s="71" cm="1">
        <f t="array" ref="V74">SUMPRODUCT(--(UPPER(V2:V73)=$AC$2:$AC$73),--($AC$2:$AC$73&lt;&gt;""))</f>
        <v>29</v>
      </c>
      <c r="W74" s="71" cm="1">
        <f t="array" ref="W74">SUMPRODUCT(--(UPPER(W2:W73)=$AC$2:$AC$73),--($AC$2:$AC$73&lt;&gt;""))</f>
        <v>33</v>
      </c>
      <c r="X74" s="71" cm="1">
        <f t="array" ref="X74">SUMPRODUCT(--(UPPER(X2:X73)=$AC$2:$AC$73),--($AC$2:$AC$73&lt;&gt;""))</f>
        <v>28</v>
      </c>
      <c r="Y74" s="71" cm="1">
        <f t="array" ref="Y74">SUMPRODUCT(--(UPPER(Y2:Y73)=$AC$2:$AC$73),--($AC$2:$AC$73&lt;&gt;""))</f>
        <v>30</v>
      </c>
      <c r="Z74" s="71" cm="1">
        <f t="array" ref="Z74">SUMPRODUCT(--(UPPER(Z2:Z73)=$AC$2:$AC$73),--($AC$2:$AC$73&lt;&gt;""))</f>
        <v>27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phoneticPr fontId="15" type="noConversion"/>
  <conditionalFormatting sqref="G50">
    <cfRule type="expression" dxfId="5" priority="1">
      <formula>AND($AC50&lt;&gt;"",G50=$AC50)</formula>
    </cfRule>
    <cfRule type="expression" dxfId="4" priority="2">
      <formula>AND($AC50&lt;&gt;"",G50&lt;&gt;"",G50&lt;&gt;$AC50)</formula>
    </cfRule>
  </conditionalFormatting>
  <conditionalFormatting sqref="G2:Z37 G38:U39 W38:Z39 V39 G40:Z49 H50:Z51 G51:Z73">
    <cfRule type="expression" dxfId="3" priority="3">
      <formula>AND($AC2&lt;&gt;"",G2=$AC2)</formula>
    </cfRule>
    <cfRule type="expression" dxfId="2" priority="4">
      <formula>AND($AC2&lt;&gt;"",G2&lt;&gt;"",G2&lt;&gt;$AC2)</formula>
    </cfRule>
  </conditionalFormatting>
  <conditionalFormatting sqref="V38">
    <cfRule type="expression" dxfId="1" priority="7">
      <formula>AND($AC39&lt;&gt;"",V38=$AC39)</formula>
    </cfRule>
    <cfRule type="expression" dxfId="0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52:Z73 X2:Z50 G40:W50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2026-06-25T21:54:03Z</dcterms:modified>
  <cp:category/>
  <cp:contentStatus/>
</cp:coreProperties>
</file>