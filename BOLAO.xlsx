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400D3FB-607C-4C43-B336-107D520A8E1D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17" i="7" l="1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2" i="7"/>
  <c r="AC17" i="7"/>
  <c r="AB17" i="7"/>
  <c r="AD17" i="7" s="1"/>
  <c r="AC16" i="7"/>
  <c r="AB16" i="7"/>
  <c r="AC15" i="7"/>
  <c r="AB15" i="7"/>
  <c r="AD15" i="7" s="1"/>
  <c r="AC14" i="7"/>
  <c r="AB14" i="7"/>
  <c r="AD14" i="7" s="1"/>
  <c r="AC13" i="7"/>
  <c r="AD13" i="7" s="1"/>
  <c r="AB13" i="7"/>
  <c r="AC12" i="7"/>
  <c r="AB12" i="7"/>
  <c r="AD12" i="7" s="1"/>
  <c r="AC11" i="7"/>
  <c r="AB11" i="7"/>
  <c r="AD11" i="7" s="1"/>
  <c r="AC10" i="7"/>
  <c r="AB10" i="7"/>
  <c r="AD10" i="7" s="1"/>
  <c r="AC9" i="7"/>
  <c r="AB9" i="7"/>
  <c r="AD9" i="7"/>
  <c r="AC8" i="7"/>
  <c r="AB8" i="7"/>
  <c r="AD8" i="7" s="1"/>
  <c r="AC7" i="7"/>
  <c r="AB7" i="7"/>
  <c r="AD7" i="7" s="1"/>
  <c r="AC6" i="7"/>
  <c r="AB6" i="7"/>
  <c r="AD6" i="7" s="1"/>
  <c r="AC5" i="7"/>
  <c r="AB5" i="7"/>
  <c r="AC4" i="7"/>
  <c r="AB4" i="7"/>
  <c r="AD4" i="7" s="1"/>
  <c r="AC3" i="7"/>
  <c r="AB3" i="7"/>
  <c r="AD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C2" i="7"/>
  <c r="AB2" i="7"/>
  <c r="AD2" i="7" s="1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D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D5" i="7" l="1"/>
  <c r="O18" i="7" s="1" a="1"/>
  <c r="O18" i="7" s="1"/>
  <c r="AA18" i="7" l="1" a="1"/>
  <c r="AA18" i="7" s="1"/>
  <c r="K18" i="7" a="1"/>
  <c r="K18" i="7" s="1"/>
  <c r="X18" i="7" a="1"/>
  <c r="X18" i="7" s="1"/>
  <c r="Z18" i="7" a="1"/>
  <c r="Z18" i="7" s="1"/>
  <c r="N18" i="7" a="1"/>
  <c r="N18" i="7" s="1"/>
  <c r="J18" i="7" a="1"/>
  <c r="J18" i="7" s="1"/>
  <c r="T18" i="7" a="1"/>
  <c r="T18" i="7" s="1"/>
  <c r="U18" i="7" a="1"/>
  <c r="U18" i="7" s="1"/>
  <c r="M18" i="7" a="1"/>
  <c r="M18" i="7" s="1"/>
  <c r="W18" i="7" a="1"/>
  <c r="W18" i="7" s="1"/>
  <c r="V18" i="7" a="1"/>
  <c r="V18" i="7" s="1"/>
  <c r="R18" i="7" a="1"/>
  <c r="R18" i="7" s="1"/>
  <c r="I18" i="7" a="1"/>
  <c r="I18" i="7" s="1"/>
  <c r="Q18" i="7" a="1"/>
  <c r="Q18" i="7" s="1"/>
  <c r="Y18" i="7" a="1"/>
  <c r="Y18" i="7" s="1"/>
  <c r="L18" i="7" a="1"/>
  <c r="L18" i="7" s="1"/>
  <c r="S18" i="7" a="1"/>
  <c r="S18" i="7" s="1"/>
  <c r="H18" i="7" a="1"/>
  <c r="H18" i="7" s="1"/>
  <c r="P18" i="7" a="1"/>
  <c r="P18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3" authorId="0" shapeId="0" xr:uid="{6D822A62-93A3-455D-B5C0-9ADBA9D01FBC}">
      <text>
        <r>
          <rPr>
            <b/>
            <sz val="9"/>
            <color indexed="81"/>
            <rFont val="Segoe UI"/>
            <charset val="1"/>
          </rPr>
          <t>Empate em 1x1; Paraguai venceu nos pênaltis e avançou. Entrada manual — a pontuação mantém o resultado como empate (E).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<sst xmlns="http://schemas.openxmlformats.org/spreadsheetml/2006/main" count="1801" uniqueCount="164">
  <si>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</si>
  <si>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</si>
  <si>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</si>
  <si>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</si>
  <si>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</si>
  <si>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</si>
  <si>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</si>
  <si>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</si>
  <si>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</si>
  <si>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</si>
  <si>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</si>
  <si>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</si>
  <si>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</si>
  <si>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</si>
  <si>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</si>
  <si>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</si>
  <si>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</si>
  <si>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</si>
  <si>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</si>
  <si>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</si>
  <si>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</si>
  <si>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</si>
  <si>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</si>
  <si>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</si>
  <si>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</si>
  <si>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</si>
  <si>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</si>
  <si>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</si>
  <si>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</si>
  <si>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</si>
  <si>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</si>
  <si>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</si>
  <si>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</si>
  <si>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</si>
  <si>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</si>
  <si>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</si>
  <si>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</si>
  <si>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</si>
  <si>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</si>
  <si>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</si>
  <si>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</si>
  <si>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</si>
  <si>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</si>
  <si>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</si>
  <si>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</si>
  <si>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</si>
  <si>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</si>
  <si>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</si>
  <si>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</si>
  <si>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</si>
  <si>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</si>
  <si>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</si>
  <si>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</si>
  <si>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</si>
  <si>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</si>
  <si>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</si>
  <si>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</si>
  <si>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</si>
  <si>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</si>
  <si>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</si>
  <si>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</si>
  <si>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</si>
  <si>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</si>
  <si>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</si>
  <si>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</si>
  <si>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</si>
  <si>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</si>
  <si>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</si>
  <si>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</si>
  <si>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</si>
  <si>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</si>
  <si>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</si>
  <si>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</si>
  <si>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</si>
  <si>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</si>
  <si>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</si>
  <si>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</si>
  <si>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</si>
  <si>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</si>
  <si>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</si>
  <si>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</si>
  <si>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</si>
  <si>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</si>
  <si>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</si>
  <si>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</si>
  <si>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</si>
  <si>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</si>
  <si>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</si>
  <si>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</si>
  <si>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</si>
  <si>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</si>
  <si>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</si>
  <si>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</si>
  <si>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</si>
  <si>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</si>
  <si>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</si>
  <si>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</si>
  <si>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</si>
  <si>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</si>
  <si>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</si>
  <si>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</si>
  <si>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</si>
  <si>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</si>
  <si>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</si>
  <si>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</si>
  <si>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</si>
  <si>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</si>
  <si>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</si>
  <si>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</si>
  <si>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</si>
  <si>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</si>
  <si>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</si>
  <si>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</si>
  <si>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</si>
  <si>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</si>
  <si>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</si>
  <si>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</si>
  <si>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</si>
  <si>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</si>
  <si>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</si>
  <si>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</si>
  <si>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</si>
  <si>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</si>
  <si>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</si>
  <si>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</si>
  <si>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</si>
  <si>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</si>
  <si>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</si>
  <si>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</si>
  <si>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</si>
  <si>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</si>
  <si>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</si>
  <si>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</si>
  <si>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</si>
  <si>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</si>
  <si>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</si>
  <si>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</si>
  <si>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</si>
  <si>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</si>
  <si>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</si>
  <si>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</si>
  <si>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</si>
  <si>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</si>
  <si>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</si>
  <si>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</si>
  <si>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</si>
  <si>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</si>
  <si>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</si>
  <si>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</si>
  <si>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</si>
  <si>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</si>
  <si>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</si>
  <si>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</si>
  <si>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</si>
  <si>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</si>
  <si>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</si>
  <si>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</si>
  <si>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</si>
  <si>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</si>
  <si>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</si>
  <si>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</si>
  <si>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</si>
  <si>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Paraguai</t>
  </si>
  <si>
    <t>Passou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</si>
</sst>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b/>
      <sz val="9"/>
      <color indexed="81"/>
      <name val="Segoe UI"/>
      <charset val="1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7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17" fillId="3" borderId="0" xfId="0" applyFont="1" applyFill="1" applyBorder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Border="1" applyAlignment="1">
      <alignment horizontal="center" vertical="center" textRotation="255"/>
    </xf>
    <xf numFmtId="0" fontId="19" fillId="5" borderId="69" xfId="0" applyFont="1" applyFill="1" applyBorder="1" applyAlignment="1">
      <alignment horizontal="center" vertical="center"/>
    </xf>
    <xf numFmtId="0" fontId="19" fillId="5" borderId="68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8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5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9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6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0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7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9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68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0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0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9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1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1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2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2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3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3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4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9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4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1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4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2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4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3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0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9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1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1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2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2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3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3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4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9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4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1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4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2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4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3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0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9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1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1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2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2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3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3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4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9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4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1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4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2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4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3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0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9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1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1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2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2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3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3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4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9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4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1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4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2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4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3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0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9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1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1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2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2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3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3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4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9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4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1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4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2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4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3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0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9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1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1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2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2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3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3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4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9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4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1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4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2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4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2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4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2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4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3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0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9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1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1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2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2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2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2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2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2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3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3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4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9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4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1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4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2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4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2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4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2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4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3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4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9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5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1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6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2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6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2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6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2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7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4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D18"/>
  <sheetViews>
    <sheetView tabSelected="1" workbookViewId="0">
      <pane ySplit="1" topLeftCell="A2" activePane="bottomLeft" state="frozen"/>
      <selection activeCell="S1" sqref="S1"/>
      <selection pane="bottomLeft" activeCell="F16" sqref="F1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14.28515625" customWidth="1"/>
    <col min="7" max="7" width="6" customWidth="1"/>
    <col min="8" max="30" width="16.42578125" customWidth="1"/>
  </cols>
  <sheetData>
    <row r="1" spans="1:30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9" t="s">
        <v>163</v>
      </c>
      <c r="G1" s="125"/>
      <c r="H1" s="91" t="s">
        <v>3</v>
      </c>
      <c r="I1" s="132" t="s">
        <v>5</v>
      </c>
      <c r="J1" s="91" t="s">
        <v>6</v>
      </c>
      <c r="K1" s="91" t="s">
        <v>35</v>
      </c>
      <c r="L1" s="91" t="s">
        <v>7</v>
      </c>
      <c r="M1" s="91" t="s">
        <v>36</v>
      </c>
      <c r="N1" s="91" t="s">
        <v>8</v>
      </c>
      <c r="O1" s="91" t="s">
        <v>9</v>
      </c>
      <c r="P1" s="91" t="s">
        <v>18</v>
      </c>
      <c r="Q1" s="91" t="s">
        <v>10</v>
      </c>
      <c r="R1" s="91" t="s">
        <v>37</v>
      </c>
      <c r="S1" s="91" t="s">
        <v>11</v>
      </c>
      <c r="T1" s="91" t="s">
        <v>12</v>
      </c>
      <c r="U1" s="91" t="s">
        <v>13</v>
      </c>
      <c r="V1" s="91" t="s">
        <v>38</v>
      </c>
      <c r="W1" s="91" t="s">
        <v>14</v>
      </c>
      <c r="X1" s="91" t="s">
        <v>15</v>
      </c>
      <c r="Y1" s="91" t="s">
        <v>16</v>
      </c>
      <c r="Z1" s="91" t="s">
        <v>17</v>
      </c>
      <c r="AA1" s="91" t="s">
        <v>19</v>
      </c>
      <c r="AB1" s="133" t="s">
        <v>39</v>
      </c>
      <c r="AC1" s="134" t="s">
        <v>40</v>
      </c>
      <c r="AD1" s="69" t="s">
        <v>41</v>
      </c>
    </row>
    <row r="2" spans="1:30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72" t="str">
        <f>IF($AD2="","",IF($AD2="A",$C2,IF($AD2="B",$D2,"")))</f>
        <v>Canadá</v>
      </c>
      <c r="G2" s="170"/>
      <c r="H2" s="136" t="s">
        <v>45</v>
      </c>
      <c r="I2" s="137" t="s">
        <v>44</v>
      </c>
      <c r="J2" s="136" t="s">
        <v>45</v>
      </c>
      <c r="K2" s="136" t="s">
        <v>44</v>
      </c>
      <c r="L2" s="136" t="s">
        <v>46</v>
      </c>
      <c r="M2" s="136" t="s">
        <v>45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44</v>
      </c>
      <c r="S2" s="136"/>
      <c r="T2" s="136" t="s">
        <v>45</v>
      </c>
      <c r="U2" s="136" t="s">
        <v>45</v>
      </c>
      <c r="V2" s="136" t="s">
        <v>45</v>
      </c>
      <c r="W2" s="136" t="s">
        <v>45</v>
      </c>
      <c r="X2" s="136"/>
      <c r="Y2" s="136" t="s">
        <v>44</v>
      </c>
      <c r="Z2" s="136" t="s">
        <v>45</v>
      </c>
      <c r="AA2" s="136"/>
      <c r="AB2" s="66">
        <f>IFERROR(VALUE(TRIM(LEFT($E2,SEARCH("x",$E2)-1))),"")</f>
        <v>0</v>
      </c>
      <c r="AC2" s="73">
        <f>IFERROR(VALUE(TRIM(MID($E2,SEARCH("x",$E2)+1,10))),"")</f>
        <v>1</v>
      </c>
      <c r="AD2" s="71" t="str">
        <f>IF(OR($AB2="",$AC2=""),"",IF($AB2&gt;$AC2,"A",IF($AB2&lt;$AC2,"B","E")))</f>
        <v>B</v>
      </c>
    </row>
    <row r="3" spans="1:30" ht="15.75" thickBot="1" x14ac:dyDescent="0.3">
      <c r="A3" s="141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73" t="s">
        <v>162</v>
      </c>
      <c r="G3" s="171"/>
      <c r="H3" s="65" t="s">
        <v>44</v>
      </c>
      <c r="I3" s="111" t="s">
        <v>44</v>
      </c>
      <c r="J3" s="65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45</v>
      </c>
      <c r="Z3" s="65" t="s">
        <v>44</v>
      </c>
      <c r="AA3" s="65" t="s">
        <v>44</v>
      </c>
      <c r="AB3" s="129">
        <f t="shared" ref="AB3:AB17" si="2">IFERROR(VALUE(TRIM(LEFT($E3,SEARCH("x",$E3)-1))),"")</f>
        <v>1</v>
      </c>
      <c r="AC3" s="130">
        <f t="shared" ref="AC3:AC17" si="3">IFERROR(VALUE(TRIM(MID($E3,SEARCH("x",$E3)+1,10))),"")</f>
        <v>1</v>
      </c>
      <c r="AD3" s="131" t="str">
        <f t="shared" ref="AD3:AD17" si="4">IF(OR($AB3="",$AC3=""),"",IF($AB3&gt;$AC3,"A",IF($AB3&lt;$AC3,"B","E")))</f>
        <v>E</v>
      </c>
    </row>
    <row r="4" spans="1:30" ht="15.75" thickBot="1" x14ac:dyDescent="0.3">
      <c r="A4" s="141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160</v>
      </c>
      <c r="F4" s="173" t="str">
        <f t="shared" ref="F3:F17" si="5">IF($AD4="","",IF($AD4="A",$C4,IF($AD4="B",$D4,"")))</f>
        <v/>
      </c>
      <c r="G4" s="171"/>
      <c r="H4" s="60" t="s">
        <v>44</v>
      </c>
      <c r="I4" s="86" t="s">
        <v>45</v>
      </c>
      <c r="J4" s="60" t="s">
        <v>44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46</v>
      </c>
      <c r="Q4" s="60" t="s">
        <v>45</v>
      </c>
      <c r="R4" s="60" t="s">
        <v>45</v>
      </c>
      <c r="S4" s="60" t="s">
        <v>45</v>
      </c>
      <c r="T4" s="60" t="s">
        <v>44</v>
      </c>
      <c r="U4" s="60" t="s">
        <v>46</v>
      </c>
      <c r="V4" s="60" t="s">
        <v>44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126" t="str">
        <f t="shared" si="2"/>
        <v/>
      </c>
      <c r="AC4" s="128" t="str">
        <f t="shared" si="3"/>
        <v/>
      </c>
      <c r="AD4" s="127" t="str">
        <f t="shared" si="4"/>
        <v/>
      </c>
    </row>
    <row r="5" spans="1:30" ht="15.75" thickBot="1" x14ac:dyDescent="0.3">
      <c r="A5" s="142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73" t="str">
        <f t="shared" si="5"/>
        <v>Brasil</v>
      </c>
      <c r="G5" s="170"/>
      <c r="H5" s="96" t="s">
        <v>44</v>
      </c>
      <c r="I5" s="115" t="s">
        <v>44</v>
      </c>
      <c r="J5" s="96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138">
        <f t="shared" si="2"/>
        <v>2</v>
      </c>
      <c r="AC5" s="139">
        <f t="shared" si="3"/>
        <v>1</v>
      </c>
      <c r="AD5" s="140" t="str">
        <f t="shared" si="4"/>
        <v>A</v>
      </c>
    </row>
    <row r="6" spans="1:30" ht="15.75" thickBot="1" x14ac:dyDescent="0.3">
      <c r="A6" s="141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73" t="str">
        <f t="shared" si="5"/>
        <v/>
      </c>
      <c r="G6" s="171"/>
      <c r="H6" s="65"/>
      <c r="I6" s="111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129" t="str">
        <f t="shared" si="2"/>
        <v/>
      </c>
      <c r="AC6" s="130" t="str">
        <f t="shared" si="3"/>
        <v/>
      </c>
      <c r="AD6" s="131" t="str">
        <f t="shared" si="4"/>
        <v/>
      </c>
    </row>
    <row r="7" spans="1:30" ht="15.75" thickBot="1" x14ac:dyDescent="0.3">
      <c r="A7" s="141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160</v>
      </c>
      <c r="F7" s="173" t="str">
        <f t="shared" si="5"/>
        <v/>
      </c>
      <c r="G7" s="171"/>
      <c r="H7" s="60"/>
      <c r="I7" s="86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126" t="str">
        <f t="shared" si="2"/>
        <v/>
      </c>
      <c r="AC7" s="128" t="str">
        <f t="shared" si="3"/>
        <v/>
      </c>
      <c r="AD7" s="127" t="str">
        <f t="shared" si="4"/>
        <v/>
      </c>
    </row>
    <row r="8" spans="1:30" ht="15.75" thickBot="1" x14ac:dyDescent="0.3">
      <c r="A8" s="142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73" t="str">
        <f t="shared" si="5"/>
        <v/>
      </c>
      <c r="G8" s="170"/>
      <c r="H8" s="96"/>
      <c r="I8" s="115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138" t="str">
        <f t="shared" si="2"/>
        <v/>
      </c>
      <c r="AC8" s="139" t="str">
        <f t="shared" si="3"/>
        <v/>
      </c>
      <c r="AD8" s="140" t="str">
        <f t="shared" si="4"/>
        <v/>
      </c>
    </row>
    <row r="9" spans="1:30" ht="15.75" thickBot="1" x14ac:dyDescent="0.3">
      <c r="A9" s="141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73" t="str">
        <f t="shared" si="5"/>
        <v/>
      </c>
      <c r="G9" s="171"/>
      <c r="H9" s="65"/>
      <c r="I9" s="111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129" t="str">
        <f t="shared" si="2"/>
        <v/>
      </c>
      <c r="AC9" s="130" t="str">
        <f t="shared" si="3"/>
        <v/>
      </c>
      <c r="AD9" s="131" t="str">
        <f t="shared" si="4"/>
        <v/>
      </c>
    </row>
    <row r="10" spans="1:30" ht="15.75" thickBot="1" x14ac:dyDescent="0.3">
      <c r="A10" s="141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73" t="str">
        <f t="shared" si="5"/>
        <v/>
      </c>
      <c r="G10" s="171"/>
      <c r="H10" s="60"/>
      <c r="I10" s="86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126" t="str">
        <f t="shared" si="2"/>
        <v/>
      </c>
      <c r="AC10" s="128" t="str">
        <f t="shared" si="3"/>
        <v/>
      </c>
      <c r="AD10" s="127" t="str">
        <f t="shared" si="4"/>
        <v/>
      </c>
    </row>
    <row r="11" spans="1:30" ht="15.75" thickBot="1" x14ac:dyDescent="0.3">
      <c r="A11" s="142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73" t="str">
        <f t="shared" si="5"/>
        <v/>
      </c>
      <c r="G11" s="170"/>
      <c r="H11" s="96"/>
      <c r="I11" s="115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138" t="str">
        <f t="shared" si="2"/>
        <v/>
      </c>
      <c r="AC11" s="139" t="str">
        <f t="shared" si="3"/>
        <v/>
      </c>
      <c r="AD11" s="140" t="str">
        <f t="shared" si="4"/>
        <v/>
      </c>
    </row>
    <row r="12" spans="1:30" ht="15.75" thickBot="1" x14ac:dyDescent="0.3">
      <c r="A12" s="141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73" t="str">
        <f t="shared" si="5"/>
        <v/>
      </c>
      <c r="G12" s="171"/>
      <c r="H12" s="65"/>
      <c r="I12" s="111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129" t="str">
        <f t="shared" si="2"/>
        <v/>
      </c>
      <c r="AC12" s="130" t="str">
        <f t="shared" si="3"/>
        <v/>
      </c>
      <c r="AD12" s="131" t="str">
        <f t="shared" si="4"/>
        <v/>
      </c>
    </row>
    <row r="13" spans="1:30" ht="15.75" thickBot="1" x14ac:dyDescent="0.3">
      <c r="A13" s="141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73" t="str">
        <f t="shared" si="5"/>
        <v/>
      </c>
      <c r="G13" s="171"/>
      <c r="H13" s="60"/>
      <c r="I13" s="86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126" t="str">
        <f t="shared" si="2"/>
        <v/>
      </c>
      <c r="AC13" s="128" t="str">
        <f t="shared" si="3"/>
        <v/>
      </c>
      <c r="AD13" s="127" t="str">
        <f t="shared" si="4"/>
        <v/>
      </c>
    </row>
    <row r="14" spans="1:30" ht="15.75" thickBot="1" x14ac:dyDescent="0.3">
      <c r="A14" s="142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73" t="str">
        <f t="shared" si="5"/>
        <v/>
      </c>
      <c r="G14" s="170"/>
      <c r="H14" s="96"/>
      <c r="I14" s="115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138" t="str">
        <f t="shared" si="2"/>
        <v/>
      </c>
      <c r="AC14" s="139" t="str">
        <f t="shared" si="3"/>
        <v/>
      </c>
      <c r="AD14" s="140" t="str">
        <f t="shared" si="4"/>
        <v/>
      </c>
    </row>
    <row r="15" spans="1:30" ht="15.75" thickBot="1" x14ac:dyDescent="0.3">
      <c r="A15" s="141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73" t="str">
        <f t="shared" si="5"/>
        <v/>
      </c>
      <c r="G15" s="171"/>
      <c r="H15" s="65"/>
      <c r="I15" s="111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129" t="str">
        <f t="shared" si="2"/>
        <v/>
      </c>
      <c r="AC15" s="130" t="str">
        <f t="shared" si="3"/>
        <v/>
      </c>
      <c r="AD15" s="131" t="str">
        <f t="shared" si="4"/>
        <v/>
      </c>
    </row>
    <row r="16" spans="1:30" ht="15.75" thickBot="1" x14ac:dyDescent="0.3">
      <c r="A16" s="141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73" t="str">
        <f t="shared" si="5"/>
        <v/>
      </c>
      <c r="G16" s="171"/>
      <c r="H16" s="60"/>
      <c r="I16" s="86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126" t="str">
        <f t="shared" si="2"/>
        <v/>
      </c>
      <c r="AC16" s="128" t="str">
        <f t="shared" si="3"/>
        <v/>
      </c>
      <c r="AD16" s="127" t="str">
        <f t="shared" si="4"/>
        <v/>
      </c>
    </row>
    <row r="17" spans="1:30" ht="15.75" thickBot="1" x14ac:dyDescent="0.3">
      <c r="A17" s="142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73" t="str">
        <f t="shared" si="5"/>
        <v/>
      </c>
      <c r="G17" s="170"/>
      <c r="H17" s="96"/>
      <c r="I17" s="115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138" t="str">
        <f t="shared" si="2"/>
        <v/>
      </c>
      <c r="AC17" s="139" t="str">
        <f t="shared" si="3"/>
        <v/>
      </c>
      <c r="AD17" s="140" t="str">
        <f t="shared" si="4"/>
        <v/>
      </c>
    </row>
    <row r="18" spans="1:30" ht="15.75" thickBot="1" x14ac:dyDescent="0.3">
      <c r="G18" s="124" t="s">
        <v>128</v>
      </c>
      <c r="H18" s="123" cm="1">
        <f t="array" ref="H18">SUMPRODUCT(--(UPPER(H2:H17)=$AD$2:$AD$17),--($AD$2:$AD$17&lt;&gt;""))+ORGANIZAÇÃO!G74</f>
        <v>44</v>
      </c>
      <c r="I18" s="92" cm="1">
        <f t="array" ref="I18">SUMPRODUCT(--(UPPER(I2:I17)=$AD$2:$AD$17),--($AD$2:$AD$17&lt;&gt;""))+ORGANIZAÇÃO!H74</f>
        <v>43</v>
      </c>
      <c r="J18" s="92" cm="1">
        <f t="array" ref="J18">SUMPRODUCT(--(UPPER(J2:J17)=$AD$2:$AD$17),--($AD$2:$AD$17&lt;&gt;""))+ORGANIZAÇÃO!I74</f>
        <v>44</v>
      </c>
      <c r="K18" s="92" cm="1">
        <f t="array" ref="K18">SUMPRODUCT(--(UPPER(K2:K17)=$AD$2:$AD$17),--($AD$2:$AD$17&lt;&gt;""))+ORGANIZAÇÃO!J74</f>
        <v>45</v>
      </c>
      <c r="L18" s="92" cm="1">
        <f t="array" ref="L18">SUMPRODUCT(--(UPPER(L2:L17)=$AD$2:$AD$17),--($AD$2:$AD$17&lt;&gt;""))+ORGANIZAÇÃO!K74</f>
        <v>41</v>
      </c>
      <c r="M18" s="92" cm="1">
        <f t="array" ref="M18">SUMPRODUCT(--(UPPER(M2:M17)=$AD$2:$AD$17),--($AD$2:$AD$17&lt;&gt;""))+ORGANIZAÇÃO!L74</f>
        <v>42</v>
      </c>
      <c r="N18" s="92" cm="1">
        <f t="array" ref="N18">SUMPRODUCT(--(UPPER(N2:N17)=$AD$2:$AD$17),--($AD$2:$AD$17&lt;&gt;""))+ORGANIZAÇÃO!M74</f>
        <v>46</v>
      </c>
      <c r="O18" s="92" cm="1">
        <f t="array" ref="O18">SUMPRODUCT(--(UPPER(O2:O17)=$AD$2:$AD$17),--($AD$2:$AD$17&lt;&gt;""))+ORGANIZAÇÃO!N74</f>
        <v>49</v>
      </c>
      <c r="P18" s="92" cm="1">
        <f t="array" ref="P18">SUMPRODUCT(--(UPPER(P2:P17)=$AD$2:$AD$17),--($AD$2:$AD$17&lt;&gt;""))+ORGANIZAÇÃO!O74</f>
        <v>40</v>
      </c>
      <c r="Q18" s="92" cm="1">
        <f t="array" ref="Q18">SUMPRODUCT(--(UPPER(Q2:Q17)=$AD$2:$AD$17),--($AD$2:$AD$17&lt;&gt;""))+ORGANIZAÇÃO!P74</f>
        <v>44</v>
      </c>
      <c r="R18" s="92" cm="1">
        <f t="array" ref="R18">SUMPRODUCT(--(UPPER(R2:R17)=$AD$2:$AD$17),--($AD$2:$AD$17&lt;&gt;""))+ORGANIZAÇÃO!Q74</f>
        <v>40</v>
      </c>
      <c r="S18" s="92" cm="1">
        <f t="array" ref="S18">SUMPRODUCT(--(UPPER(S2:S17)=$AD$2:$AD$17),--($AD$2:$AD$17&lt;&gt;""))+ORGANIZAÇÃO!R74</f>
        <v>38</v>
      </c>
      <c r="T18" s="92" cm="1">
        <f t="array" ref="T18">SUMPRODUCT(--(UPPER(T2:T17)=$AD$2:$AD$17),--($AD$2:$AD$17&lt;&gt;""))+ORGANIZAÇÃO!S74</f>
        <v>37</v>
      </c>
      <c r="U18" s="92" cm="1">
        <f t="array" ref="U18">SUMPRODUCT(--(UPPER(U2:U17)=$AD$2:$AD$17),--($AD$2:$AD$17&lt;&gt;""))+ORGANIZAÇÃO!T74</f>
        <v>38</v>
      </c>
      <c r="V18" s="92" cm="1">
        <f t="array" ref="V18">SUMPRODUCT(--(UPPER(V2:V17)=$AD$2:$AD$17),--($AD$2:$AD$17&lt;&gt;""))+ORGANIZAÇÃO!U74</f>
        <v>43</v>
      </c>
      <c r="W18" s="92" cm="1">
        <f t="array" ref="W18">SUMPRODUCT(--(UPPER(W2:W17)=$AD$2:$AD$17),--($AD$2:$AD$17&lt;&gt;""))+ORGANIZAÇÃO!V74</f>
        <v>40</v>
      </c>
      <c r="X18" s="92" cm="1">
        <f t="array" ref="X18">SUMPRODUCT(--(UPPER(X2:X17)=$AD$2:$AD$17),--($AD$2:$AD$17&lt;&gt;""))+ORGANIZAÇÃO!W74</f>
        <v>42</v>
      </c>
      <c r="Y18" s="92" cm="1">
        <f t="array" ref="Y18">SUMPRODUCT(--(UPPER(Y2:Y17)=$AD$2:$AD$17),--($AD$2:$AD$17&lt;&gt;""))+ORGANIZAÇÃO!X74</f>
        <v>39</v>
      </c>
      <c r="Z18" s="92" cm="1">
        <f t="array" ref="Z18">SUMPRODUCT(--(UPPER(Z2:Z17)=$AD$2:$AD$17),--($AD$2:$AD$17&lt;&gt;""))+ORGANIZAÇÃO!Y74</f>
        <v>41</v>
      </c>
      <c r="AA18" s="92" cm="1">
        <f t="array" ref="AA18">SUMPRODUCT(--(UPPER(AA2:AA17)=$AD$2:$AD$17),--($AD$2:$AD$17&lt;&gt;""))+ORGANIZAÇÃO!Z74</f>
        <v>34</v>
      </c>
    </row>
  </sheetData>
  <mergeCells count="5">
    <mergeCell ref="A15:A17"/>
    <mergeCell ref="A3:A5"/>
    <mergeCell ref="A6:A8"/>
    <mergeCell ref="A9:A11"/>
    <mergeCell ref="A12:A14"/>
  </mergeCells>
  <conditionalFormatting sqref="H2:AA17">
    <cfRule type="expression" dxfId="1" priority="1">
      <formula>AND($AD2&lt;&gt;"",H2=$AD2)</formula>
    </cfRule>
    <cfRule type="expression" dxfId="0" priority="2">
      <formula>AND($AD2&lt;&gt;"",H2&lt;&gt;"",H2&lt;&gt;$AD2)</formula>
    </cfRule>
  </conditionalFormatting>
  <dataValidations disablePrompts="1" count="1">
    <dataValidation type="list" allowBlank="1" showErrorMessage="1" errorTitle="Valor inválido" error="Digite apenas A (Time A), B (Time B) ou E (Empate)." promptTitle="Palpite" prompt="Escolha A, B ou E" sqref="H2:AA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2026-06-29T23:45:13Z</dcterms:modified>
  <cp:category/>
  <cp:contentStatus/>
</cp:coreProperties>
</file>