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2" activeTab="3" autoFilterDateGrouping="1"/>
  </bookViews>
  <sheets>
    <sheet xmlns:r="http://schemas.openxmlformats.org/officeDocument/2006/relationships" name="Pagamentos" sheetId="1" state="visible" r:id="rId1"/>
    <sheet xmlns:r="http://schemas.openxmlformats.org/officeDocument/2006/relationships" name="Apuração" sheetId="2" state="hidden" r:id="rId2"/>
    <sheet xmlns:r="http://schemas.openxmlformats.org/officeDocument/2006/relationships" name="ORGANIZAÇÃO" sheetId="3" state="visible" r:id="rId3"/>
    <sheet xmlns:r="http://schemas.openxmlformats.org/officeDocument/2006/relationships" name="MATA-MATA 32" sheetId="4" state="visible" r:id="rId4"/>
    <sheet xmlns:r="http://schemas.openxmlformats.org/officeDocument/2006/relationships" name="MATA-MATA 16" sheetId="5" state="visible" r:id="rId5"/>
    <sheet xmlns:r="http://schemas.openxmlformats.org/officeDocument/2006/relationships" name="MATA-MATA 8" sheetId="6" state="visible" r:id="rId6"/>
    <sheet xmlns:r="http://schemas.openxmlformats.org/officeDocument/2006/relationships" name="MATA-MATA 4" sheetId="7" state="visible" r:id="rId7"/>
    <sheet xmlns:r="http://schemas.openxmlformats.org/officeDocument/2006/relationships" name="MATA-MATA 2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DF00"/>
      <sz val="11"/>
      <scheme val="minor"/>
    </font>
    <font>
      <name val="Aptos Narrow"/>
      <family val="2"/>
      <b val="1"/>
      <color rgb="FFFFDF00"/>
      <sz val="16"/>
      <scheme val="minor"/>
    </font>
    <font>
      <name val="Aptos Narrow"/>
      <family val="2"/>
      <b val="1"/>
      <color rgb="FFFFDF00"/>
      <sz val="12"/>
      <scheme val="minor"/>
    </font>
    <font>
      <name val="Aptos Narrow"/>
      <family val="2"/>
      <b val="1"/>
      <color rgb="FFFFDF00"/>
      <sz val="15"/>
      <scheme val="minor"/>
    </font>
    <font>
      <name val="Aptos Narrow"/>
      <family val="2"/>
      <b val="1"/>
      <i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color theme="1"/>
      <sz val="20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b val="1"/>
      <color rgb="FF002776"/>
      <sz val="20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sz val="8"/>
      <scheme val="minor"/>
    </font>
    <font>
      <name val="Aptos Narrow"/>
      <family val="2"/>
      <color rgb="FF000000"/>
      <sz val="11"/>
      <scheme val="minor"/>
    </font>
    <font>
      <name val="Aptos Narrow"/>
      <b val="1"/>
      <color rgb="FFFFDF00"/>
      <sz val="12"/>
      <scheme val="minor"/>
    </font>
    <font>
      <name val="Aptos Narrow"/>
      <color rgb="FF0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7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8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0" fontId="1" fillId="4" borderId="1" pivotButton="0" quotePrefix="0" xfId="0"/>
    <xf numFmtId="0" fontId="2" fillId="3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5" borderId="1" applyAlignment="1" pivotButton="0" quotePrefix="0" xfId="0">
      <alignment horizontal="center"/>
    </xf>
    <xf numFmtId="0" fontId="1" fillId="5" borderId="1" pivotButton="0" quotePrefix="0" xfId="0"/>
    <xf numFmtId="0" fontId="3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17" applyAlignment="1" pivotButton="0" quotePrefix="0" xfId="0">
      <alignment horizontal="center" vertical="center"/>
    </xf>
    <xf numFmtId="14" fontId="0" fillId="5" borderId="22" applyAlignment="1" pivotButton="0" quotePrefix="0" xfId="0">
      <alignment horizontal="left" vertical="center"/>
    </xf>
    <xf numFmtId="14" fontId="0" fillId="5" borderId="26" applyAlignment="1" pivotButton="0" quotePrefix="0" xfId="0">
      <alignment horizontal="left" vertical="center"/>
    </xf>
    <xf numFmtId="0" fontId="0" fillId="6" borderId="27" applyAlignment="1" pivotButton="0" quotePrefix="0" xfId="0">
      <alignment horizontal="left" vertical="center"/>
    </xf>
    <xf numFmtId="0" fontId="0" fillId="6" borderId="26" applyAlignment="1" pivotButton="0" quotePrefix="0" xfId="0">
      <alignment horizontal="left" vertical="center"/>
    </xf>
    <xf numFmtId="0" fontId="0" fillId="5" borderId="27" applyAlignment="1" pivotButton="0" quotePrefix="0" xfId="0">
      <alignment horizontal="left" vertical="center"/>
    </xf>
    <xf numFmtId="0" fontId="0" fillId="5" borderId="23" applyAlignment="1" pivotButton="0" quotePrefix="0" xfId="0">
      <alignment horizontal="left" vertical="center"/>
    </xf>
    <xf numFmtId="0" fontId="0" fillId="5" borderId="24" applyAlignment="1" pivotButton="0" quotePrefix="0" xfId="0">
      <alignment horizontal="left" vertical="center"/>
    </xf>
    <xf numFmtId="0" fontId="0" fillId="5" borderId="28" applyAlignment="1" pivotButton="0" quotePrefix="0" xfId="0">
      <alignment horizontal="left" vertical="center"/>
    </xf>
    <xf numFmtId="0" fontId="0" fillId="6" borderId="23" applyAlignment="1" pivotButton="0" quotePrefix="0" xfId="0">
      <alignment horizontal="left" vertical="center"/>
    </xf>
    <xf numFmtId="0" fontId="0" fillId="6" borderId="24" applyAlignment="1" pivotButton="0" quotePrefix="0" xfId="0">
      <alignment horizontal="left" vertical="center"/>
    </xf>
    <xf numFmtId="0" fontId="0" fillId="6" borderId="28" applyAlignment="1" pivotButton="0" quotePrefix="0" xfId="0">
      <alignment horizontal="left" vertical="center"/>
    </xf>
    <xf numFmtId="0" fontId="0" fillId="5" borderId="25" applyAlignment="1" pivotButton="0" quotePrefix="0" xfId="0">
      <alignment horizontal="left" vertical="center"/>
    </xf>
    <xf numFmtId="0" fontId="0" fillId="5" borderId="22" applyAlignment="1" pivotButton="0" quotePrefix="0" xfId="0">
      <alignment horizontal="center" vertical="center"/>
    </xf>
    <xf numFmtId="0" fontId="0" fillId="5" borderId="26" applyAlignment="1" pivotButton="0" quotePrefix="0" xfId="0">
      <alignment horizontal="center" vertical="center"/>
    </xf>
    <xf numFmtId="0" fontId="0" fillId="6" borderId="27" applyAlignment="1" pivotButton="0" quotePrefix="0" xfId="0">
      <alignment horizontal="center" vertical="center"/>
    </xf>
    <xf numFmtId="0" fontId="0" fillId="6" borderId="26" applyAlignment="1" pivotButton="0" quotePrefix="0" xfId="0">
      <alignment horizontal="center" vertical="center"/>
    </xf>
    <xf numFmtId="0" fontId="0" fillId="5" borderId="27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6" borderId="23" applyAlignment="1" pivotButton="0" quotePrefix="0" xfId="0">
      <alignment horizontal="center" vertical="center"/>
    </xf>
    <xf numFmtId="0" fontId="0" fillId="6" borderId="24" applyAlignment="1" pivotButton="0" quotePrefix="0" xfId="0">
      <alignment horizontal="center" vertical="center"/>
    </xf>
    <xf numFmtId="0" fontId="0" fillId="6" borderId="28" applyAlignment="1" pivotButton="0" quotePrefix="0" xfId="0">
      <alignment horizontal="center" vertical="center"/>
    </xf>
    <xf numFmtId="0" fontId="0" fillId="5" borderId="25" applyAlignment="1" pivotButton="0" quotePrefix="0" xfId="0">
      <alignment horizontal="center" vertical="center"/>
    </xf>
    <xf numFmtId="0" fontId="1" fillId="5" borderId="29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29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5" borderId="30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6" borderId="30" applyAlignment="1" pivotButton="0" quotePrefix="0" xfId="0">
      <alignment horizontal="center" vertical="center"/>
    </xf>
    <xf numFmtId="0" fontId="1" fillId="5" borderId="3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0" fillId="0" borderId="2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/>
    </xf>
    <xf numFmtId="0" fontId="1" fillId="7" borderId="33" applyAlignment="1" pivotButton="0" quotePrefix="0" xfId="0">
      <alignment horizontal="center" vertical="center"/>
    </xf>
    <xf numFmtId="0" fontId="12" fillId="8" borderId="26" applyAlignment="1" pivotButton="0" quotePrefix="0" xfId="0">
      <alignment horizontal="center"/>
    </xf>
    <xf numFmtId="0" fontId="10" fillId="3" borderId="34" applyAlignment="1" pivotButton="0" quotePrefix="0" xfId="0">
      <alignment horizontal="center" vertical="center"/>
    </xf>
    <xf numFmtId="0" fontId="12" fillId="8" borderId="34" applyAlignment="1" pivotButton="0" quotePrefix="0" xfId="0">
      <alignment horizontal="center"/>
    </xf>
    <xf numFmtId="0" fontId="12" fillId="8" borderId="35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14" fillId="10" borderId="25" applyAlignment="1" pivotButton="0" quotePrefix="0" xfId="0">
      <alignment horizontal="center" vertical="center"/>
    </xf>
    <xf numFmtId="0" fontId="13" fillId="9" borderId="25" applyAlignment="1" pivotButton="0" quotePrefix="0" xfId="0">
      <alignment horizontal="center" vertical="center"/>
    </xf>
    <xf numFmtId="0" fontId="13" fillId="9" borderId="16" applyAlignment="1" pivotButton="0" quotePrefix="0" xfId="0">
      <alignment horizontal="center" vertical="center"/>
    </xf>
    <xf numFmtId="0" fontId="14" fillId="10" borderId="16" applyAlignment="1" pivotButton="0" quotePrefix="0" xfId="0">
      <alignment horizontal="center" vertical="center"/>
    </xf>
    <xf numFmtId="0" fontId="16" fillId="0" borderId="28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13" fillId="9" borderId="31" applyAlignment="1" pivotButton="0" quotePrefix="0" xfId="0">
      <alignment horizontal="center" vertical="center"/>
    </xf>
    <xf numFmtId="0" fontId="16" fillId="0" borderId="30" applyAlignment="1" pivotButton="0" quotePrefix="0" xfId="0">
      <alignment horizontal="center" vertical="center"/>
    </xf>
    <xf numFmtId="0" fontId="1" fillId="7" borderId="36" pivotButton="0" quotePrefix="0" xfId="0"/>
    <xf numFmtId="0" fontId="0" fillId="0" borderId="42" applyAlignment="1" pivotButton="0" quotePrefix="0" xfId="0">
      <alignment horizontal="center"/>
    </xf>
    <xf numFmtId="0" fontId="0" fillId="0" borderId="43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/>
    </xf>
    <xf numFmtId="0" fontId="10" fillId="2" borderId="48" applyAlignment="1" pivotButton="0" quotePrefix="0" xfId="0">
      <alignment horizontal="center" vertical="center"/>
    </xf>
    <xf numFmtId="0" fontId="10" fillId="2" borderId="34" applyAlignment="1" pivotButton="0" quotePrefix="0" xfId="0">
      <alignment horizontal="center" vertical="center"/>
    </xf>
    <xf numFmtId="0" fontId="1" fillId="0" borderId="35" applyAlignment="1" pivotButton="0" quotePrefix="0" xfId="0">
      <alignment horizontal="center"/>
    </xf>
    <xf numFmtId="14" fontId="0" fillId="0" borderId="24" applyAlignment="1" pivotButton="0" quotePrefix="0" xfId="0">
      <alignment horizontal="center" vertical="center"/>
    </xf>
    <xf numFmtId="0" fontId="0" fillId="0" borderId="49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50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0" fillId="0" borderId="32" applyAlignment="1" pivotButton="0" quotePrefix="0" xfId="0">
      <alignment horizontal="center" vertical="center"/>
    </xf>
    <xf numFmtId="0" fontId="13" fillId="9" borderId="2" applyAlignment="1" pivotButton="0" quotePrefix="0" xfId="0">
      <alignment horizontal="center" vertical="center"/>
    </xf>
    <xf numFmtId="0" fontId="13" fillId="9" borderId="19" applyAlignment="1" pivotButton="0" quotePrefix="0" xfId="0">
      <alignment horizontal="center" vertical="center"/>
    </xf>
    <xf numFmtId="0" fontId="13" fillId="9" borderId="53" applyAlignment="1" pivotButton="0" quotePrefix="0" xfId="0">
      <alignment horizontal="center" vertical="center"/>
    </xf>
    <xf numFmtId="0" fontId="16" fillId="0" borderId="21" applyAlignment="1" pivotButton="0" quotePrefix="0" xfId="0">
      <alignment horizontal="center" vertical="center"/>
    </xf>
    <xf numFmtId="0" fontId="16" fillId="0" borderId="15" applyAlignment="1" pivotButton="0" quotePrefix="0" xfId="0">
      <alignment horizontal="center" vertical="center"/>
    </xf>
    <xf numFmtId="0" fontId="16" fillId="0" borderId="31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54" applyAlignment="1" pivotButton="0" quotePrefix="0" xfId="0">
      <alignment horizontal="center" vertical="center"/>
    </xf>
    <xf numFmtId="0" fontId="0" fillId="0" borderId="55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0" borderId="58" applyAlignment="1" pivotButton="0" quotePrefix="0" xfId="0">
      <alignment horizontal="center" vertical="center"/>
    </xf>
    <xf numFmtId="0" fontId="4" fillId="3" borderId="60" applyAlignment="1" pivotButton="0" quotePrefix="0" xfId="0">
      <alignment horizontal="center" vertical="center"/>
    </xf>
    <xf numFmtId="14" fontId="0" fillId="5" borderId="23" applyAlignment="1" pivotButton="0" quotePrefix="0" xfId="0">
      <alignment horizontal="left" vertical="center"/>
    </xf>
    <xf numFmtId="14" fontId="0" fillId="5" borderId="33" applyAlignment="1" pivotButton="0" quotePrefix="0" xfId="0">
      <alignment horizontal="left" vertical="center"/>
    </xf>
    <xf numFmtId="0" fontId="0" fillId="5" borderId="33" applyAlignment="1" pivotButton="0" quotePrefix="0" xfId="0">
      <alignment horizontal="center" vertical="center"/>
    </xf>
    <xf numFmtId="0" fontId="1" fillId="5" borderId="62" applyAlignment="1" pivotButton="0" quotePrefix="0" xfId="0">
      <alignment horizontal="center" vertical="center"/>
    </xf>
    <xf numFmtId="14" fontId="16" fillId="0" borderId="61" applyAlignment="1" pivotButton="0" quotePrefix="0" xfId="0">
      <alignment horizontal="center" vertical="center"/>
    </xf>
    <xf numFmtId="0" fontId="1" fillId="0" borderId="42" applyAlignment="1" pivotButton="0" quotePrefix="0" xfId="0">
      <alignment horizontal="center"/>
    </xf>
    <xf numFmtId="0" fontId="1" fillId="7" borderId="64" pivotButton="0" quotePrefix="0" xfId="0"/>
    <xf numFmtId="0" fontId="11" fillId="7" borderId="66" applyAlignment="1" pivotButton="0" quotePrefix="0" xfId="0">
      <alignment horizontal="center" vertical="center" textRotation="255" wrapText="1"/>
    </xf>
    <xf numFmtId="0" fontId="0" fillId="0" borderId="24" applyAlignment="1" pivotButton="0" quotePrefix="0" xfId="0">
      <alignment horizontal="center"/>
    </xf>
    <xf numFmtId="0" fontId="12" fillId="8" borderId="24" applyAlignment="1" pivotButton="0" quotePrefix="0" xfId="0">
      <alignment horizontal="center"/>
    </xf>
    <xf numFmtId="0" fontId="0" fillId="0" borderId="38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12" fillId="8" borderId="23" applyAlignment="1" pivotButton="0" quotePrefix="0" xfId="0">
      <alignment horizontal="center"/>
    </xf>
    <xf numFmtId="0" fontId="10" fillId="2" borderId="59" applyAlignment="1" pivotButton="0" quotePrefix="0" xfId="0">
      <alignment horizontal="center" vertical="center"/>
    </xf>
    <xf numFmtId="0" fontId="1" fillId="7" borderId="34" applyAlignment="1" pivotButton="0" quotePrefix="0" xfId="0">
      <alignment horizontal="center" vertical="center"/>
    </xf>
    <xf numFmtId="0" fontId="1" fillId="7" borderId="65" applyAlignment="1" pivotButton="0" quotePrefix="0" xfId="0">
      <alignment horizontal="center" vertical="center"/>
    </xf>
    <xf numFmtId="0" fontId="1" fillId="5" borderId="67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0" fontId="0" fillId="0" borderId="42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/>
    </xf>
    <xf numFmtId="0" fontId="0" fillId="0" borderId="39" applyAlignment="1" pivotButton="0" quotePrefix="0" xfId="0">
      <alignment horizontal="center"/>
    </xf>
    <xf numFmtId="0" fontId="12" fillId="8" borderId="25" applyAlignment="1" pivotButton="0" quotePrefix="0" xfId="0">
      <alignment horizontal="center"/>
    </xf>
    <xf numFmtId="0" fontId="17" fillId="3" borderId="0" applyAlignment="1" pivotButton="0" quotePrefix="0" xfId="0">
      <alignment horizontal="center" vertical="center"/>
    </xf>
    <xf numFmtId="0" fontId="9" fillId="7" borderId="67" applyAlignment="1" pivotButton="0" quotePrefix="0" xfId="0">
      <alignment horizontal="center" vertical="center" textRotation="255"/>
    </xf>
    <xf numFmtId="0" fontId="9" fillId="7" borderId="0" applyAlignment="1" pivotButton="0" quotePrefix="0" xfId="0">
      <alignment horizontal="center" vertical="center" textRotation="255"/>
    </xf>
    <xf numFmtId="0" fontId="18" fillId="5" borderId="68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14" fontId="0" fillId="0" borderId="63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5" borderId="22" applyAlignment="1" pivotButton="0" quotePrefix="0" xfId="0">
      <alignment horizontal="center" vertical="center" textRotation="45"/>
    </xf>
    <xf numFmtId="14" fontId="0" fillId="5" borderId="23" applyAlignment="1" pivotButton="0" quotePrefix="0" xfId="0">
      <alignment horizontal="center" vertical="center" textRotation="45"/>
    </xf>
    <xf numFmtId="14" fontId="0" fillId="5" borderId="24" applyAlignment="1" pivotButton="0" quotePrefix="0" xfId="0">
      <alignment horizontal="center" vertical="center" textRotation="45"/>
    </xf>
    <xf numFmtId="14" fontId="0" fillId="5" borderId="25" applyAlignment="1" pivotButton="0" quotePrefix="0" xfId="0">
      <alignment horizontal="center" vertical="center" textRotation="45"/>
    </xf>
    <xf numFmtId="0" fontId="11" fillId="7" borderId="41" applyAlignment="1" pivotButton="0" quotePrefix="0" xfId="0">
      <alignment horizontal="center" vertical="center" textRotation="255" wrapText="1"/>
    </xf>
    <xf numFmtId="0" fontId="9" fillId="7" borderId="18" applyAlignment="1" pivotButton="0" quotePrefix="0" xfId="0">
      <alignment horizontal="center" vertical="center" textRotation="255"/>
    </xf>
    <xf numFmtId="0" fontId="9" fillId="7" borderId="45" applyAlignment="1" pivotButton="0" quotePrefix="0" xfId="0">
      <alignment horizontal="center" vertical="center" textRotation="255"/>
    </xf>
    <xf numFmtId="0" fontId="9" fillId="7" borderId="19" applyAlignment="1" pivotButton="0" quotePrefix="0" xfId="0">
      <alignment horizontal="center" vertical="center" textRotation="255"/>
    </xf>
    <xf numFmtId="0" fontId="9" fillId="7" borderId="20" applyAlignment="1" pivotButton="0" quotePrefix="0" xfId="0">
      <alignment horizontal="center" vertical="center" textRotation="255"/>
    </xf>
    <xf numFmtId="0" fontId="9" fillId="7" borderId="21" applyAlignment="1" pivotButton="0" quotePrefix="0" xfId="0">
      <alignment horizontal="center" vertical="center" textRotation="255"/>
    </xf>
    <xf numFmtId="0" fontId="9" fillId="7" borderId="46" applyAlignment="1" pivotButton="0" quotePrefix="0" xfId="0">
      <alignment horizontal="center" vertical="center" textRotation="255"/>
    </xf>
    <xf numFmtId="14" fontId="0" fillId="5" borderId="6" applyAlignment="1" pivotButton="0" quotePrefix="0" xfId="0">
      <alignment horizontal="center" vertical="center" textRotation="45"/>
    </xf>
    <xf numFmtId="14" fontId="0" fillId="5" borderId="8" applyAlignment="1" pivotButton="0" quotePrefix="0" xfId="0">
      <alignment horizontal="center" vertical="center" textRotation="45"/>
    </xf>
    <xf numFmtId="14" fontId="0" fillId="5" borderId="3" applyAlignment="1" pivotButton="0" quotePrefix="0" xfId="0">
      <alignment horizontal="center" vertical="center" textRotation="45"/>
    </xf>
    <xf numFmtId="14" fontId="0" fillId="5" borderId="5" applyAlignment="1" pivotButton="0" quotePrefix="0" xfId="0">
      <alignment horizontal="center" vertical="center" textRotation="45"/>
    </xf>
    <xf numFmtId="14" fontId="0" fillId="6" borderId="6" applyAlignment="1" pivotButton="0" quotePrefix="0" xfId="0">
      <alignment horizontal="center" vertical="center" textRotation="45"/>
    </xf>
    <xf numFmtId="14" fontId="0" fillId="6" borderId="8" applyAlignment="1" pivotButton="0" quotePrefix="0" xfId="0">
      <alignment horizontal="center" vertical="center" textRotation="45"/>
    </xf>
    <xf numFmtId="14" fontId="0" fillId="6" borderId="3" applyAlignment="1" pivotButton="0" quotePrefix="0" xfId="0">
      <alignment horizontal="center" vertical="center" textRotation="45"/>
    </xf>
    <xf numFmtId="14" fontId="0" fillId="6" borderId="5" applyAlignment="1" pivotButton="0" quotePrefix="0" xfId="0">
      <alignment horizontal="center" vertical="center" textRotation="45"/>
    </xf>
    <xf numFmtId="14" fontId="0" fillId="5" borderId="6" applyAlignment="1" pivotButton="0" quotePrefix="0" xfId="0">
      <alignment horizontal="center" vertical="center"/>
    </xf>
    <xf numFmtId="14" fontId="0" fillId="5" borderId="7" applyAlignment="1" pivotButton="0" quotePrefix="0" xfId="0">
      <alignment horizontal="center" vertical="center"/>
    </xf>
    <xf numFmtId="14" fontId="0" fillId="6" borderId="6" applyAlignment="1" pivotButton="0" quotePrefix="0" xfId="0">
      <alignment horizontal="center" vertical="center"/>
    </xf>
    <xf numFmtId="14" fontId="0" fillId="6" borderId="7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5" borderId="68" applyAlignment="1" pivotButton="0" quotePrefix="0" xfId="0">
      <alignment horizontal="center" vertical="center"/>
    </xf>
    <xf numFmtId="0" fontId="11" fillId="7" borderId="69" applyAlignment="1" pivotButton="0" quotePrefix="0" xfId="0">
      <alignment horizontal="center" vertical="center" textRotation="255" wrapText="1"/>
    </xf>
    <xf numFmtId="0" fontId="0" fillId="0" borderId="70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26" pivotButton="0" quotePrefix="0" xfId="0"/>
    <xf numFmtId="0" fontId="0" fillId="0" borderId="23" pivotButton="0" quotePrefix="0" xfId="0"/>
    <xf numFmtId="0" fontId="0" fillId="0" borderId="64" pivotButton="0" quotePrefix="0" xfId="0"/>
    <xf numFmtId="0" fontId="0" fillId="0" borderId="12" pivotButton="0" quotePrefix="0" xfId="0"/>
    <xf numFmtId="0" fontId="0" fillId="0" borderId="63" pivotButton="0" quotePrefix="0" xfId="0"/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 val="1"/>
      </font>
      <fill>
        <patternFill patternType="solid">
          <fgColor indexed="64"/>
          <bgColor rgb="FFFFE082"/>
        </patternFill>
      </fill>
    </dxf>
    <dxf>
      <font>
        <b val="1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 val="1"/>
      </font>
    </dxf>
    <dxf>
      <font>
        <b val="1"/>
        <color rgb="FFFFDF00"/>
        <sz val="12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BolaoCopa" displayName="BolaoCopa" ref="A4:B20" headerRowCount="1" totalsRowShown="0" headerRowDxfId="12">
  <autoFilter ref="A4:B20"/>
  <tableColumns count="2">
    <tableColumn id="1" name="Participantes" dataDxfId="11"/>
    <tableColumn id="3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D31" sqref="D31"/>
    </sheetView>
  </sheetViews>
  <sheetFormatPr baseColWidth="8" defaultRowHeight="15"/>
  <cols>
    <col width="24.7109375" customWidth="1" min="1" max="1"/>
    <col width="14.28515625" customWidth="1" min="2" max="3"/>
  </cols>
  <sheetData>
    <row r="1" ht="21" customHeight="1">
      <c r="A1" s="147" t="inlineStr">
        <is>
          <t>BOLÃO DA COPA 2026</t>
        </is>
      </c>
      <c r="C1" s="13" t="n"/>
      <c r="D1" s="13" t="n"/>
      <c r="E1" s="13" t="n"/>
      <c r="F1" s="13" t="n"/>
      <c r="G1" s="13" t="n"/>
      <c r="H1" s="13" t="n"/>
    </row>
    <row r="2" ht="15" customHeight="1">
      <c r="C2" s="13" t="n"/>
      <c r="D2" s="13" t="n"/>
      <c r="E2" s="13" t="n"/>
      <c r="F2" s="13" t="n"/>
      <c r="G2" s="13" t="n"/>
      <c r="H2" s="13" t="n"/>
    </row>
    <row r="3" ht="15" customHeight="1">
      <c r="C3" s="13" t="n"/>
      <c r="D3" s="13" t="n"/>
      <c r="E3" s="13" t="n"/>
      <c r="F3" s="13" t="n"/>
      <c r="G3" s="13" t="n"/>
      <c r="H3" s="13" t="n"/>
    </row>
    <row r="4" ht="26.1" customHeight="1">
      <c r="A4" s="2" t="inlineStr">
        <is>
          <t>Participantes</t>
        </is>
      </c>
      <c r="B4" s="2" t="inlineStr">
        <is>
          <t>Pago</t>
        </is>
      </c>
    </row>
    <row r="5">
      <c r="A5" s="3" t="inlineStr">
        <is>
          <t>Alex</t>
        </is>
      </c>
      <c r="B5" s="1" t="inlineStr">
        <is>
          <t>Ok</t>
        </is>
      </c>
    </row>
    <row r="6">
      <c r="A6" s="3" t="inlineStr">
        <is>
          <t>Bonfim</t>
        </is>
      </c>
      <c r="B6" s="1" t="inlineStr">
        <is>
          <t>Ok</t>
        </is>
      </c>
    </row>
    <row r="7">
      <c r="A7" s="3" t="inlineStr">
        <is>
          <t>Christian</t>
        </is>
      </c>
      <c r="B7" s="1" t="inlineStr">
        <is>
          <t>Ok</t>
        </is>
      </c>
    </row>
    <row r="8">
      <c r="A8" s="3" t="inlineStr">
        <is>
          <t>Daniel</t>
        </is>
      </c>
      <c r="B8" s="1" t="inlineStr">
        <is>
          <t>Ok</t>
        </is>
      </c>
    </row>
    <row r="9">
      <c r="A9" s="3" t="inlineStr">
        <is>
          <t>Douglas</t>
        </is>
      </c>
      <c r="B9" s="1" t="inlineStr">
        <is>
          <t>Ok</t>
        </is>
      </c>
    </row>
    <row r="10">
      <c r="A10" s="3" t="inlineStr">
        <is>
          <t>Dunga</t>
        </is>
      </c>
      <c r="B10" s="1" t="inlineStr">
        <is>
          <t>Ok</t>
        </is>
      </c>
    </row>
    <row r="11">
      <c r="A11" s="3" t="inlineStr">
        <is>
          <t>Gabriel</t>
        </is>
      </c>
      <c r="B11" s="1" t="inlineStr">
        <is>
          <t>Ok</t>
        </is>
      </c>
    </row>
    <row r="12">
      <c r="A12" s="3" t="inlineStr">
        <is>
          <t>Gustavo</t>
        </is>
      </c>
      <c r="B12" s="1" t="inlineStr">
        <is>
          <t>Ok</t>
        </is>
      </c>
    </row>
    <row r="13">
      <c r="A13" s="3" t="inlineStr">
        <is>
          <t>Gustavo Lima</t>
        </is>
      </c>
      <c r="B13" s="1" t="inlineStr">
        <is>
          <t>Ok</t>
        </is>
      </c>
    </row>
    <row r="14">
      <c r="A14" s="3" t="inlineStr">
        <is>
          <t>Heitor</t>
        </is>
      </c>
      <c r="B14" s="1" t="inlineStr">
        <is>
          <t>Ok</t>
        </is>
      </c>
    </row>
    <row r="15">
      <c r="A15" s="3" t="inlineStr">
        <is>
          <t>Leonardo</t>
        </is>
      </c>
      <c r="B15" s="1" t="inlineStr">
        <is>
          <t>Ok</t>
        </is>
      </c>
    </row>
    <row r="16">
      <c r="A16" s="3" t="inlineStr">
        <is>
          <t>Patrick</t>
        </is>
      </c>
      <c r="B16" s="1" t="inlineStr">
        <is>
          <t>Ok</t>
        </is>
      </c>
    </row>
    <row r="17">
      <c r="A17" s="3" t="inlineStr">
        <is>
          <t>Rasta</t>
        </is>
      </c>
      <c r="B17" s="1" t="inlineStr">
        <is>
          <t>Ok</t>
        </is>
      </c>
    </row>
    <row r="18">
      <c r="A18" s="3" t="inlineStr">
        <is>
          <t>Renan</t>
        </is>
      </c>
      <c r="B18" s="1" t="inlineStr">
        <is>
          <t>Ok</t>
        </is>
      </c>
    </row>
    <row r="19">
      <c r="A19" s="3" t="inlineStr">
        <is>
          <t>Felipe</t>
        </is>
      </c>
      <c r="B19" s="1" t="inlineStr">
        <is>
          <t>Ok</t>
        </is>
      </c>
    </row>
    <row r="20">
      <c r="A20" s="3" t="inlineStr">
        <is>
          <t>Sanches</t>
        </is>
      </c>
      <c r="B20" s="1" t="inlineStr">
        <is>
          <t>Ok</t>
        </is>
      </c>
    </row>
  </sheetData>
  <mergeCells count="1">
    <mergeCell ref="A1:B3"/>
  </mergeCells>
  <conditionalFormatting sqref="B5:B20">
    <cfRule type="containsText" priority="1" operator="containsText" dxfId="9" text="Ok">
      <formula>NOT(ISERROR(SEARCH("Ok",B5)))</formula>
    </cfRule>
  </conditionalFormatting>
  <dataValidations count="1">
    <dataValidation sqref="B5:B20" showDropDown="0" showInputMessage="1" showErrorMessage="1" allowBlank="1" type="list">
      <formula1>"Ok,Pendente"</formula1>
    </dataValidation>
  </dataValidation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D4" sqref="D4"/>
    </sheetView>
  </sheetViews>
  <sheetFormatPr baseColWidth="8" defaultRowHeight="15"/>
  <cols>
    <col width="5.7109375" customWidth="1" min="1" max="1"/>
    <col width="21" customWidth="1" min="2" max="2"/>
    <col width="12.140625" customWidth="1" min="3" max="7"/>
    <col width="22.85546875" customWidth="1" min="9" max="9"/>
    <col width="9.5703125" customWidth="1" min="10" max="10"/>
  </cols>
  <sheetData>
    <row r="1" ht="30" customHeight="1">
      <c r="A1" s="148" t="inlineStr">
        <is>
          <t>APURAÇÃO — RANKING DO BOLÃO COPA 2026</t>
        </is>
      </c>
    </row>
    <row r="3" ht="30" customHeight="1">
      <c r="A3" s="4" t="inlineStr">
        <is>
          <t>#</t>
        </is>
      </c>
      <c r="B3" s="4" t="inlineStr">
        <is>
          <t>Participante</t>
        </is>
      </c>
      <c r="C3" s="4" t="inlineStr">
        <is>
          <t>Acertos</t>
        </is>
      </c>
      <c r="D3" s="4" t="inlineStr">
        <is>
          <t>Pontos</t>
        </is>
      </c>
      <c r="E3" s="4" t="inlineStr">
        <is>
          <t>Posição</t>
        </is>
      </c>
      <c r="I3" s="7" t="inlineStr">
        <is>
          <t>Pontos por acerto</t>
        </is>
      </c>
      <c r="J3" s="8" t="n"/>
    </row>
    <row r="4">
      <c r="A4" s="5">
        <f>ROW()-3</f>
        <v/>
      </c>
      <c r="B4" s="6" t="inlineStr">
        <is>
          <t>Alex</t>
        </is>
      </c>
      <c r="C4" s="5">
        <f t="array" ref="C4">SUMPRODUCT((#REF!&lt;&gt;"")*(INDEX(#REF!,0,$A4)=#REF!))</f>
        <v/>
      </c>
      <c r="D4" s="14">
        <f>C4*$J$4</f>
        <v/>
      </c>
      <c r="E4" s="14">
        <f>RANK(D4,$D$4:$D$17)</f>
        <v/>
      </c>
      <c r="I4" t="inlineStr">
        <is>
          <t>Por acerto</t>
        </is>
      </c>
      <c r="J4" s="7" t="n">
        <v>1</v>
      </c>
    </row>
    <row r="5">
      <c r="A5" s="11">
        <f>ROW()-3</f>
        <v/>
      </c>
      <c r="B5" s="12" t="inlineStr">
        <is>
          <t>Bonfim</t>
        </is>
      </c>
      <c r="C5" s="5">
        <f t="array" ref="C5">SUMPRODUCT((#REF!&lt;&gt;"")*(INDEX(#REF!,0,$A5)=#REF!))</f>
        <v/>
      </c>
      <c r="D5" s="14">
        <f>C5*$J$4</f>
        <v/>
      </c>
      <c r="E5" s="14">
        <f>RANK(D5,$D$4:$D$17)</f>
        <v/>
      </c>
      <c r="J5" s="8" t="n"/>
    </row>
    <row r="6">
      <c r="A6" s="5">
        <f>ROW()-3</f>
        <v/>
      </c>
      <c r="B6" s="6" t="inlineStr">
        <is>
          <t>Christian</t>
        </is>
      </c>
      <c r="C6" s="5">
        <f t="array" ref="C6">SUMPRODUCT((#REF!&lt;&gt;"")*(INDEX(#REF!,0,$A6)=#REF!))</f>
        <v/>
      </c>
      <c r="D6" s="14">
        <f>C6*$J$4</f>
        <v/>
      </c>
      <c r="E6" s="14">
        <f>RANK(D6,$D$4:$D$17)</f>
        <v/>
      </c>
    </row>
    <row r="7">
      <c r="A7" s="11">
        <f>ROW()-3</f>
        <v/>
      </c>
      <c r="B7" s="12" t="inlineStr">
        <is>
          <t>Daniel</t>
        </is>
      </c>
      <c r="C7" s="5">
        <f t="array" ref="C7">SUMPRODUCT((#REF!&lt;&gt;"")*(INDEX(#REF!,0,$A7)=#REF!))</f>
        <v/>
      </c>
      <c r="D7" s="14">
        <f>C7*$J$4</f>
        <v/>
      </c>
      <c r="E7" s="14">
        <f>RANK(D7,$D$4:$D$17)</f>
        <v/>
      </c>
      <c r="I7" s="9" t="inlineStr">
        <is>
          <t>Como funciona</t>
        </is>
      </c>
    </row>
    <row r="8">
      <c r="A8" s="5">
        <f>ROW()-3</f>
        <v/>
      </c>
      <c r="B8" s="6" t="inlineStr">
        <is>
          <t>Douglas</t>
        </is>
      </c>
      <c r="C8" s="5">
        <f t="array" ref="C8">SUMPRODUCT((#REF!&lt;&gt;"")*(INDEX(#REF!,0,$A8)=#REF!))</f>
        <v/>
      </c>
      <c r="D8" s="14">
        <f>C8*$J$4</f>
        <v/>
      </c>
      <c r="E8" s="14">
        <f>RANK(D8,$D$4:$D$17)</f>
        <v/>
      </c>
      <c r="I8" s="10" t="inlineStr">
        <is>
          <t>Preencha a coluna 'Result.' na aba de palpites (A/E/B). O ranking atualiza sozinho.</t>
        </is>
      </c>
    </row>
    <row r="9">
      <c r="A9" s="11">
        <f>ROW()-3</f>
        <v/>
      </c>
      <c r="B9" s="12" t="inlineStr">
        <is>
          <t>Dunga</t>
        </is>
      </c>
      <c r="C9" s="5">
        <f t="array" ref="C9">SUMPRODUCT((#REF!&lt;&gt;"")*(INDEX(#REF!,0,$A9)=#REF!))</f>
        <v/>
      </c>
      <c r="D9" s="14">
        <f>C9*$J$4</f>
        <v/>
      </c>
      <c r="E9" s="14">
        <f>RANK(D9,$D$4:$D$17)</f>
        <v/>
      </c>
    </row>
    <row r="10">
      <c r="A10" s="5">
        <f>ROW()-3</f>
        <v/>
      </c>
      <c r="B10" s="6" t="inlineStr">
        <is>
          <t>Gabriel</t>
        </is>
      </c>
      <c r="C10" s="5">
        <f t="array" ref="C10">SUMPRODUCT((#REF!&lt;&gt;"")*(INDEX(#REF!,0,$A10)=#REF!))</f>
        <v/>
      </c>
      <c r="D10" s="14">
        <f>C10*$J$4</f>
        <v/>
      </c>
      <c r="E10" s="14">
        <f>RANK(D10,$D$4:$D$17)</f>
        <v/>
      </c>
    </row>
    <row r="11">
      <c r="A11" s="11">
        <f>ROW()-3</f>
        <v/>
      </c>
      <c r="B11" s="12" t="inlineStr">
        <is>
          <t>Gustavo</t>
        </is>
      </c>
      <c r="C11" s="5">
        <f t="array" ref="C11">SUMPRODUCT((#REF!&lt;&gt;"")*(INDEX(#REF!,0,$A11)=#REF!))</f>
        <v/>
      </c>
      <c r="D11" s="14">
        <f>C11*$J$4</f>
        <v/>
      </c>
      <c r="E11" s="14">
        <f>RANK(D11,$D$4:$D$17)</f>
        <v/>
      </c>
    </row>
    <row r="12">
      <c r="A12" s="5">
        <f>ROW()-3</f>
        <v/>
      </c>
      <c r="B12" s="6" t="inlineStr">
        <is>
          <t>Gustavo Lima</t>
        </is>
      </c>
      <c r="C12" s="5">
        <f t="array" ref="C12">SUMPRODUCT((#REF!&lt;&gt;"")*(INDEX(#REF!,0,$A12)=#REF!))</f>
        <v/>
      </c>
      <c r="D12" s="14">
        <f>C12*$J$4</f>
        <v/>
      </c>
      <c r="E12" s="14">
        <f>RANK(D12,$D$4:$D$17)</f>
        <v/>
      </c>
    </row>
    <row r="13">
      <c r="A13" s="11">
        <f>ROW()-3</f>
        <v/>
      </c>
      <c r="B13" s="12" t="inlineStr">
        <is>
          <t>Heitor</t>
        </is>
      </c>
      <c r="C13" s="5">
        <f t="array" ref="C13">SUMPRODUCT((#REF!&lt;&gt;"")*(INDEX(#REF!,0,$A13)=#REF!))</f>
        <v/>
      </c>
      <c r="D13" s="14">
        <f>C13*$J$4</f>
        <v/>
      </c>
      <c r="E13" s="14">
        <f>RANK(D13,$D$4:$D$17)</f>
        <v/>
      </c>
    </row>
    <row r="14">
      <c r="A14" s="5">
        <f>ROW()-3</f>
        <v/>
      </c>
      <c r="B14" s="6" t="inlineStr">
        <is>
          <t>Leonardo</t>
        </is>
      </c>
      <c r="C14" s="5">
        <f t="array" ref="C14">SUMPRODUCT((#REF!&lt;&gt;"")*(INDEX(#REF!,0,$A14)=#REF!))</f>
        <v/>
      </c>
      <c r="D14" s="14">
        <f>C14*$J$4</f>
        <v/>
      </c>
      <c r="E14" s="14">
        <f>RANK(D14,$D$4:$D$17)</f>
        <v/>
      </c>
    </row>
    <row r="15">
      <c r="A15" s="11">
        <f>ROW()-3</f>
        <v/>
      </c>
      <c r="B15" s="12" t="inlineStr">
        <is>
          <t>Patrick</t>
        </is>
      </c>
      <c r="C15" s="5">
        <f t="array" ref="C15">SUMPRODUCT((#REF!&lt;&gt;"")*(INDEX(#REF!,0,$A15)=#REF!))</f>
        <v/>
      </c>
      <c r="D15" s="14">
        <f>C15*$J$4</f>
        <v/>
      </c>
      <c r="E15" s="14">
        <f>RANK(D15,$D$4:$D$17)</f>
        <v/>
      </c>
    </row>
    <row r="16">
      <c r="A16" s="5">
        <f>ROW()-3</f>
        <v/>
      </c>
      <c r="B16" s="6" t="inlineStr">
        <is>
          <t>Rasta</t>
        </is>
      </c>
      <c r="C16" s="5">
        <f t="array" ref="C16">SUMPRODUCT((#REF!&lt;&gt;"")*(INDEX(#REF!,0,$A16)=#REF!))</f>
        <v/>
      </c>
      <c r="D16" s="14">
        <f>C16*$J$4</f>
        <v/>
      </c>
      <c r="E16" s="14">
        <f>RANK(D16,$D$4:$D$17)</f>
        <v/>
      </c>
    </row>
    <row r="17">
      <c r="A17" s="11">
        <f>ROW()-3</f>
        <v/>
      </c>
      <c r="B17" s="12" t="inlineStr">
        <is>
          <t>Renan</t>
        </is>
      </c>
      <c r="C17" s="5">
        <f t="array" ref="C17">SUMPRODUCT((#REF!&lt;&gt;"")*(INDEX(#REF!,0,$A17)=#REF!))</f>
        <v/>
      </c>
      <c r="D17" s="14">
        <f>C17*$J$4</f>
        <v/>
      </c>
      <c r="E17" s="14">
        <f>RANK(D17,$D$4:$D$17)</f>
        <v/>
      </c>
    </row>
  </sheetData>
  <mergeCells count="1">
    <mergeCell ref="A1:G1"/>
  </mergeCells>
  <conditionalFormatting sqref="A4:E17">
    <cfRule type="expression" priority="2" dxfId="8">
      <formula>$E4=1</formula>
    </cfRule>
  </conditionalFormatting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baseColWidth="8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5"/>
    <col width="6" customWidth="1" min="6" max="6"/>
    <col width="16.42578125" customWidth="1" min="7" max="29"/>
  </cols>
  <sheetData>
    <row r="1" ht="30" customHeight="1" thickBot="1">
      <c r="A1" s="18" t="inlineStr">
        <is>
          <t>DATAS</t>
        </is>
      </c>
      <c r="B1" s="17" t="inlineStr">
        <is>
          <t>CONFRONTOS</t>
        </is>
      </c>
      <c r="C1" s="15" t="inlineStr">
        <is>
          <t>TIME A</t>
        </is>
      </c>
      <c r="D1" s="15" t="inlineStr">
        <is>
          <t>TIME B</t>
        </is>
      </c>
      <c r="E1" s="16" t="inlineStr">
        <is>
          <t>PLACAR</t>
        </is>
      </c>
      <c r="F1" s="175" t="n"/>
      <c r="G1" s="90" t="inlineStr">
        <is>
          <t>Alex</t>
        </is>
      </c>
      <c r="H1" s="91" t="inlineStr">
        <is>
          <t>Bonfim</t>
        </is>
      </c>
      <c r="I1" s="91" t="inlineStr">
        <is>
          <t>Christian</t>
        </is>
      </c>
      <c r="J1" s="91" t="inlineStr">
        <is>
          <t>Cleiton</t>
        </is>
      </c>
      <c r="K1" s="91" t="inlineStr">
        <is>
          <t>Daniel</t>
        </is>
      </c>
      <c r="L1" s="91" t="inlineStr">
        <is>
          <t>David</t>
        </is>
      </c>
      <c r="M1" s="91" t="inlineStr">
        <is>
          <t>Douglas</t>
        </is>
      </c>
      <c r="N1" s="91" t="inlineStr">
        <is>
          <t>Dunga</t>
        </is>
      </c>
      <c r="O1" s="91" t="inlineStr">
        <is>
          <t>Felipe</t>
        </is>
      </c>
      <c r="P1" s="91" t="inlineStr">
        <is>
          <t>Gabriel</t>
        </is>
      </c>
      <c r="Q1" s="91" t="inlineStr">
        <is>
          <t>Giliarde</t>
        </is>
      </c>
      <c r="R1" s="91" t="inlineStr">
        <is>
          <t>Gustavo</t>
        </is>
      </c>
      <c r="S1" s="91" t="inlineStr">
        <is>
          <t>Gustavo Lima</t>
        </is>
      </c>
      <c r="T1" s="91" t="inlineStr">
        <is>
          <t>Heitor</t>
        </is>
      </c>
      <c r="U1" s="91" t="inlineStr">
        <is>
          <t>Juninho</t>
        </is>
      </c>
      <c r="V1" s="91" t="inlineStr">
        <is>
          <t>Leonardo</t>
        </is>
      </c>
      <c r="W1" s="91" t="inlineStr">
        <is>
          <t>Patrick</t>
        </is>
      </c>
      <c r="X1" s="91" t="inlineStr">
        <is>
          <t>Rasta</t>
        </is>
      </c>
      <c r="Y1" s="91" t="inlineStr">
        <is>
          <t>Renan</t>
        </is>
      </c>
      <c r="Z1" s="91" t="inlineStr">
        <is>
          <t>Sanches</t>
        </is>
      </c>
      <c r="AA1" s="67" t="inlineStr">
        <is>
          <t>Gols A</t>
        </is>
      </c>
      <c r="AB1" s="67" t="inlineStr">
        <is>
          <t>Gols B</t>
        </is>
      </c>
      <c r="AC1" s="69" t="inlineStr">
        <is>
          <t>RESULTADO</t>
        </is>
      </c>
    </row>
    <row r="2">
      <c r="A2" s="169" t="n">
        <v>46184</v>
      </c>
      <c r="B2" s="19" t="inlineStr">
        <is>
          <t>México x África do Sul</t>
        </is>
      </c>
      <c r="C2" s="31">
        <f>TRIM(LEFT(B2,FIND(" x ",B2)-1))</f>
        <v/>
      </c>
      <c r="D2" s="31">
        <f>TRIM(MID(B2,FIND(" x ",B2)+3,100))</f>
        <v/>
      </c>
      <c r="E2" s="43" t="inlineStr">
        <is>
          <t>2x0</t>
        </is>
      </c>
      <c r="F2" s="176" t="n"/>
      <c r="G2" s="98" t="inlineStr">
        <is>
          <t>A</t>
        </is>
      </c>
      <c r="H2" s="99" t="inlineStr">
        <is>
          <t>B</t>
        </is>
      </c>
      <c r="I2" s="99" t="inlineStr">
        <is>
          <t>A</t>
        </is>
      </c>
      <c r="J2" s="99" t="inlineStr">
        <is>
          <t>A</t>
        </is>
      </c>
      <c r="K2" s="99" t="inlineStr">
        <is>
          <t>A</t>
        </is>
      </c>
      <c r="L2" s="99" t="inlineStr">
        <is>
          <t>A</t>
        </is>
      </c>
      <c r="M2" s="99" t="inlineStr">
        <is>
          <t>A</t>
        </is>
      </c>
      <c r="N2" s="99" t="inlineStr">
        <is>
          <t>A</t>
        </is>
      </c>
      <c r="O2" s="99" t="inlineStr">
        <is>
          <t>A</t>
        </is>
      </c>
      <c r="P2" s="99" t="inlineStr">
        <is>
          <t>A</t>
        </is>
      </c>
      <c r="Q2" s="99" t="inlineStr">
        <is>
          <t>A</t>
        </is>
      </c>
      <c r="R2" s="99" t="inlineStr">
        <is>
          <t>E</t>
        </is>
      </c>
      <c r="S2" s="99" t="inlineStr">
        <is>
          <t>A</t>
        </is>
      </c>
      <c r="T2" s="99" t="inlineStr">
        <is>
          <t>A</t>
        </is>
      </c>
      <c r="U2" s="100" t="inlineStr">
        <is>
          <t>A</t>
        </is>
      </c>
      <c r="V2" s="100" t="inlineStr">
        <is>
          <t>A</t>
        </is>
      </c>
      <c r="W2" s="100" t="inlineStr">
        <is>
          <t>E</t>
        </is>
      </c>
      <c r="X2" s="100" t="inlineStr">
        <is>
          <t>B</t>
        </is>
      </c>
      <c r="Y2" s="100" t="inlineStr">
        <is>
          <t>A</t>
        </is>
      </c>
      <c r="Z2" s="99" t="inlineStr">
        <is>
          <t>A</t>
        </is>
      </c>
      <c r="AA2" s="89">
        <f>IFERROR(VALUE(TRIM(LEFT($E2,SEARCH("x",$E2)-1))),"")</f>
        <v/>
      </c>
      <c r="AB2" s="72">
        <f>IFERROR(VALUE(TRIM(MID($E2,SEARCH("x",$E2)+1,10))),"")</f>
        <v/>
      </c>
      <c r="AC2" s="70">
        <f>IF(OR($AA2="",$AB2=""),"",IF($AA2&gt;$AB2,"A",IF($AA2&lt;$AB2,"B","E")))</f>
        <v/>
      </c>
    </row>
    <row r="3" ht="15.75" customHeight="1" thickBot="1">
      <c r="A3" s="177" t="n"/>
      <c r="B3" s="20" t="inlineStr">
        <is>
          <t>Coreia do Sul x Tchéquia</t>
        </is>
      </c>
      <c r="C3" s="32">
        <f>TRIM(LEFT(B3,FIND(" x ",B3)-1))</f>
        <v/>
      </c>
      <c r="D3" s="32">
        <f>TRIM(MID(B3,FIND(" x ",B3)+3,100))</f>
        <v/>
      </c>
      <c r="E3" s="44" t="inlineStr">
        <is>
          <t>2x1</t>
        </is>
      </c>
      <c r="F3" s="176" t="n"/>
      <c r="G3" s="95" t="inlineStr">
        <is>
          <t>E</t>
        </is>
      </c>
      <c r="H3" s="96" t="inlineStr">
        <is>
          <t>A</t>
        </is>
      </c>
      <c r="I3" s="96" t="inlineStr">
        <is>
          <t>A</t>
        </is>
      </c>
      <c r="J3" s="96" t="inlineStr">
        <is>
          <t>A</t>
        </is>
      </c>
      <c r="K3" s="96" t="inlineStr">
        <is>
          <t>A</t>
        </is>
      </c>
      <c r="L3" s="96" t="inlineStr">
        <is>
          <t>A</t>
        </is>
      </c>
      <c r="M3" s="96" t="inlineStr">
        <is>
          <t>A</t>
        </is>
      </c>
      <c r="N3" s="96" t="inlineStr">
        <is>
          <t>A</t>
        </is>
      </c>
      <c r="O3" s="96" t="inlineStr">
        <is>
          <t>B</t>
        </is>
      </c>
      <c r="P3" s="96" t="inlineStr">
        <is>
          <t>B</t>
        </is>
      </c>
      <c r="Q3" s="96" t="inlineStr">
        <is>
          <t>B</t>
        </is>
      </c>
      <c r="R3" s="96" t="inlineStr">
        <is>
          <t>A</t>
        </is>
      </c>
      <c r="S3" s="96" t="inlineStr">
        <is>
          <t>E</t>
        </is>
      </c>
      <c r="T3" s="96" t="inlineStr">
        <is>
          <t>B</t>
        </is>
      </c>
      <c r="U3" s="97" t="inlineStr">
        <is>
          <t>E</t>
        </is>
      </c>
      <c r="V3" s="97" t="inlineStr">
        <is>
          <t>A</t>
        </is>
      </c>
      <c r="W3" s="97" t="inlineStr">
        <is>
          <t>A</t>
        </is>
      </c>
      <c r="X3" s="97" t="inlineStr">
        <is>
          <t>A</t>
        </is>
      </c>
      <c r="Y3" s="97" t="inlineStr">
        <is>
          <t>A</t>
        </is>
      </c>
      <c r="Z3" s="96" t="inlineStr">
        <is>
          <t>B</t>
        </is>
      </c>
      <c r="AA3" s="85">
        <f>IFERROR(VALUE(TRIM(LEFT($E3,SEARCH("x",$E3)-1))),"")</f>
        <v/>
      </c>
      <c r="AB3" s="73">
        <f>IFERROR(VALUE(TRIM(MID($E3,SEARCH("x",$E3)+1,10))),"")</f>
        <v/>
      </c>
      <c r="AC3" s="68">
        <f>IF(OR($AA3="",$AB3=""),"",IF($AA3&gt;$AB3,"A",IF($AA3&lt;$AB3,"B","E")))</f>
        <v/>
      </c>
    </row>
    <row r="4" ht="15.75" customHeight="1" thickBot="1">
      <c r="A4" s="171" t="n">
        <v>46185</v>
      </c>
      <c r="B4" s="21" t="inlineStr">
        <is>
          <t>Canadá x Bósnia e Herzeg.</t>
        </is>
      </c>
      <c r="C4" s="33">
        <f>TRIM(LEFT(B4,FIND(" x ",B4)-1))</f>
        <v/>
      </c>
      <c r="D4" s="33">
        <f>TRIM(MID(B4,FIND(" x ",B4)+3,100))</f>
        <v/>
      </c>
      <c r="E4" s="45" t="inlineStr">
        <is>
          <t>1x1</t>
        </is>
      </c>
      <c r="F4" s="176" t="n"/>
      <c r="G4" s="149" t="inlineStr">
        <is>
          <t>A</t>
        </is>
      </c>
      <c r="H4" s="56" t="inlineStr">
        <is>
          <t>E</t>
        </is>
      </c>
      <c r="I4" s="56" t="inlineStr">
        <is>
          <t>B</t>
        </is>
      </c>
      <c r="J4" s="56" t="inlineStr">
        <is>
          <t>E</t>
        </is>
      </c>
      <c r="K4" s="56" t="inlineStr">
        <is>
          <t>A</t>
        </is>
      </c>
      <c r="L4" s="56" t="inlineStr">
        <is>
          <t>A</t>
        </is>
      </c>
      <c r="M4" s="56" t="inlineStr">
        <is>
          <t>A</t>
        </is>
      </c>
      <c r="N4" s="56" t="inlineStr">
        <is>
          <t>A</t>
        </is>
      </c>
      <c r="O4" s="56" t="inlineStr">
        <is>
          <t>A</t>
        </is>
      </c>
      <c r="P4" s="56" t="inlineStr">
        <is>
          <t>A</t>
        </is>
      </c>
      <c r="Q4" s="56" t="inlineStr">
        <is>
          <t>A</t>
        </is>
      </c>
      <c r="R4" s="56" t="inlineStr">
        <is>
          <t>A</t>
        </is>
      </c>
      <c r="S4" s="56" t="inlineStr">
        <is>
          <t>A</t>
        </is>
      </c>
      <c r="T4" s="56" t="inlineStr">
        <is>
          <t>B</t>
        </is>
      </c>
      <c r="U4" s="57" t="inlineStr">
        <is>
          <t>A</t>
        </is>
      </c>
      <c r="V4" s="57" t="inlineStr">
        <is>
          <t>A</t>
        </is>
      </c>
      <c r="W4" s="57" t="inlineStr">
        <is>
          <t>A</t>
        </is>
      </c>
      <c r="X4" s="57" t="inlineStr">
        <is>
          <t>A</t>
        </is>
      </c>
      <c r="Y4" s="57" t="inlineStr">
        <is>
          <t>B</t>
        </is>
      </c>
      <c r="Z4" s="56" t="inlineStr">
        <is>
          <t>B</t>
        </is>
      </c>
      <c r="AA4" s="85">
        <f>IFERROR(VALUE(TRIM(LEFT($E4,SEARCH("x",$E4)-1))),"")</f>
        <v/>
      </c>
      <c r="AB4" s="73">
        <f>IFERROR(VALUE(TRIM(MID($E4,SEARCH("x",$E4)+1,10))),"")</f>
        <v/>
      </c>
      <c r="AC4" s="68">
        <f>IF(OR($AA4="",$AB4=""),"",IF($AA4&gt;$AB4,"A",IF($AA4&lt;$AB4,"B","E")))</f>
        <v/>
      </c>
      <c r="AD4" s="53" t="n"/>
    </row>
    <row r="5" ht="15.75" customHeight="1" thickBot="1">
      <c r="A5" s="177" t="n"/>
      <c r="B5" s="22" t="inlineStr">
        <is>
          <t>Estados Unidos x Paraguai</t>
        </is>
      </c>
      <c r="C5" s="34">
        <f>TRIM(LEFT(B5,FIND(" x ",B5)-1))</f>
        <v/>
      </c>
      <c r="D5" s="34">
        <f>TRIM(MID(B5,FIND(" x ",B5)+3,100))</f>
        <v/>
      </c>
      <c r="E5" s="45" t="inlineStr">
        <is>
          <t>4x1</t>
        </is>
      </c>
      <c r="F5" s="176" t="n"/>
      <c r="G5" s="95" t="inlineStr">
        <is>
          <t>B</t>
        </is>
      </c>
      <c r="H5" s="96" t="inlineStr">
        <is>
          <t>B</t>
        </is>
      </c>
      <c r="I5" s="96" t="inlineStr">
        <is>
          <t>B</t>
        </is>
      </c>
      <c r="J5" s="96" t="inlineStr">
        <is>
          <t>A</t>
        </is>
      </c>
      <c r="K5" s="96" t="inlineStr">
        <is>
          <t>E</t>
        </is>
      </c>
      <c r="L5" s="96" t="inlineStr">
        <is>
          <t>A</t>
        </is>
      </c>
      <c r="M5" s="96" t="inlineStr">
        <is>
          <t>B</t>
        </is>
      </c>
      <c r="N5" s="96" t="inlineStr">
        <is>
          <t>A</t>
        </is>
      </c>
      <c r="O5" s="96" t="inlineStr">
        <is>
          <t>B</t>
        </is>
      </c>
      <c r="P5" s="96" t="inlineStr">
        <is>
          <t>A</t>
        </is>
      </c>
      <c r="Q5" s="96" t="inlineStr">
        <is>
          <t>E</t>
        </is>
      </c>
      <c r="R5" s="96" t="inlineStr">
        <is>
          <t>B</t>
        </is>
      </c>
      <c r="S5" s="96" t="inlineStr">
        <is>
          <t>B</t>
        </is>
      </c>
      <c r="T5" s="96" t="inlineStr">
        <is>
          <t>E</t>
        </is>
      </c>
      <c r="U5" s="97" t="inlineStr">
        <is>
          <t>A</t>
        </is>
      </c>
      <c r="V5" s="97" t="inlineStr">
        <is>
          <t>B</t>
        </is>
      </c>
      <c r="W5" s="97" t="inlineStr">
        <is>
          <t>A</t>
        </is>
      </c>
      <c r="X5" s="97" t="inlineStr">
        <is>
          <t>B</t>
        </is>
      </c>
      <c r="Y5" s="97" t="inlineStr">
        <is>
          <t>B</t>
        </is>
      </c>
      <c r="Z5" s="96" t="inlineStr">
        <is>
          <t>A</t>
        </is>
      </c>
      <c r="AA5" s="85">
        <f>IFERROR(VALUE(TRIM(LEFT($E5,SEARCH("x",$E5)-1))),"")</f>
        <v/>
      </c>
      <c r="AB5" s="73">
        <f>IFERROR(VALUE(TRIM(MID($E5,SEARCH("x",$E5)+1,10))),"")</f>
        <v/>
      </c>
      <c r="AC5" s="68">
        <f>IF(OR($AA5="",$AB5=""),"",IF($AA5&gt;$AB5,"A",IF($AA5&lt;$AB5,"B","E")))</f>
        <v/>
      </c>
      <c r="AD5" s="53" t="n"/>
    </row>
    <row r="6" ht="15.75" customHeight="1" thickBot="1">
      <c r="A6" s="161" t="n">
        <v>46186</v>
      </c>
      <c r="B6" s="23" t="inlineStr">
        <is>
          <t>Catar x Suíça</t>
        </is>
      </c>
      <c r="C6" s="35">
        <f>TRIM(LEFT(B6,FIND(" x ",B6)-1))</f>
        <v/>
      </c>
      <c r="D6" s="35">
        <f>TRIM(MID(B6,FIND(" x ",B6)+3,100))</f>
        <v/>
      </c>
      <c r="E6" s="43" t="inlineStr">
        <is>
          <t>1x1</t>
        </is>
      </c>
      <c r="F6" s="176" t="n"/>
      <c r="G6" s="79" t="inlineStr">
        <is>
          <t>B</t>
        </is>
      </c>
      <c r="H6" s="65" t="inlineStr">
        <is>
          <t>B</t>
        </is>
      </c>
      <c r="I6" s="65" t="inlineStr">
        <is>
          <t>B</t>
        </is>
      </c>
      <c r="J6" s="65" t="inlineStr">
        <is>
          <t>B</t>
        </is>
      </c>
      <c r="K6" s="65" t="inlineStr">
        <is>
          <t>B</t>
        </is>
      </c>
      <c r="L6" s="65" t="inlineStr">
        <is>
          <t>B</t>
        </is>
      </c>
      <c r="M6" s="65" t="inlineStr">
        <is>
          <t>B</t>
        </is>
      </c>
      <c r="N6" s="65" t="inlineStr">
        <is>
          <t>B</t>
        </is>
      </c>
      <c r="O6" s="65" t="inlineStr">
        <is>
          <t>B</t>
        </is>
      </c>
      <c r="P6" s="65" t="inlineStr">
        <is>
          <t>B</t>
        </is>
      </c>
      <c r="Q6" s="65" t="inlineStr">
        <is>
          <t>A</t>
        </is>
      </c>
      <c r="R6" s="65" t="inlineStr">
        <is>
          <t>B</t>
        </is>
      </c>
      <c r="S6" s="65" t="inlineStr">
        <is>
          <t>B</t>
        </is>
      </c>
      <c r="T6" s="65" t="inlineStr">
        <is>
          <t>B</t>
        </is>
      </c>
      <c r="U6" s="55" t="inlineStr">
        <is>
          <t>B</t>
        </is>
      </c>
      <c r="V6" s="55" t="inlineStr">
        <is>
          <t>B</t>
        </is>
      </c>
      <c r="W6" s="55" t="inlineStr">
        <is>
          <t>B</t>
        </is>
      </c>
      <c r="X6" s="55" t="inlineStr">
        <is>
          <t>B</t>
        </is>
      </c>
      <c r="Y6" s="55" t="inlineStr">
        <is>
          <t>B</t>
        </is>
      </c>
      <c r="Z6" s="65" t="inlineStr">
        <is>
          <t>B</t>
        </is>
      </c>
      <c r="AA6" s="85">
        <f>IFERROR(VALUE(TRIM(LEFT($E6,SEARCH("x",$E6)-1))),"")</f>
        <v/>
      </c>
      <c r="AB6" s="73">
        <f>IFERROR(VALUE(TRIM(MID($E6,SEARCH("x",$E6)+1,10))),"")</f>
        <v/>
      </c>
      <c r="AC6" s="68">
        <f>IF(OR($AA6="",$AB6=""),"",IF($AA6&gt;$AB6,"A",IF($AA6&lt;$AB6,"B","E")))</f>
        <v/>
      </c>
      <c r="AD6" s="53" t="n"/>
    </row>
    <row r="7" ht="15.75" customHeight="1" thickBot="1">
      <c r="A7" s="178" t="n"/>
      <c r="B7" s="24" t="inlineStr">
        <is>
          <t>Brasil x Marrocos</t>
        </is>
      </c>
      <c r="C7" s="36">
        <f>TRIM(LEFT(B7,FIND(" x ",B7)-1))</f>
        <v/>
      </c>
      <c r="D7" s="36">
        <f>TRIM(MID(B7,FIND(" x ",B7)+3,100))</f>
        <v/>
      </c>
      <c r="E7" s="46" t="inlineStr">
        <is>
          <t>1x1</t>
        </is>
      </c>
      <c r="F7" s="176" t="n"/>
      <c r="G7" s="80" t="inlineStr">
        <is>
          <t>A</t>
        </is>
      </c>
      <c r="H7" s="93" t="inlineStr">
        <is>
          <t>A</t>
        </is>
      </c>
      <c r="I7" s="93" t="inlineStr">
        <is>
          <t>A</t>
        </is>
      </c>
      <c r="J7" s="93" t="inlineStr">
        <is>
          <t>B</t>
        </is>
      </c>
      <c r="K7" s="93" t="inlineStr">
        <is>
          <t>A</t>
        </is>
      </c>
      <c r="L7" s="93" t="inlineStr">
        <is>
          <t>A</t>
        </is>
      </c>
      <c r="M7" s="93" t="inlineStr">
        <is>
          <t>A</t>
        </is>
      </c>
      <c r="N7" s="93" t="inlineStr">
        <is>
          <t>E</t>
        </is>
      </c>
      <c r="O7" s="93" t="inlineStr">
        <is>
          <t>E</t>
        </is>
      </c>
      <c r="P7" s="93" t="inlineStr">
        <is>
          <t>A</t>
        </is>
      </c>
      <c r="Q7" s="93" t="inlineStr">
        <is>
          <t>A</t>
        </is>
      </c>
      <c r="R7" s="93" t="inlineStr">
        <is>
          <t>A</t>
        </is>
      </c>
      <c r="S7" s="93" t="inlineStr">
        <is>
          <t>A</t>
        </is>
      </c>
      <c r="T7" s="93" t="inlineStr">
        <is>
          <t>A</t>
        </is>
      </c>
      <c r="U7" s="93" t="inlineStr">
        <is>
          <t>A</t>
        </is>
      </c>
      <c r="V7" s="93" t="inlineStr">
        <is>
          <t>A</t>
        </is>
      </c>
      <c r="W7" s="93" t="inlineStr">
        <is>
          <t>A</t>
        </is>
      </c>
      <c r="X7" s="93" t="inlineStr">
        <is>
          <t>A</t>
        </is>
      </c>
      <c r="Y7" s="93" t="inlineStr">
        <is>
          <t>A</t>
        </is>
      </c>
      <c r="Z7" s="93" t="inlineStr">
        <is>
          <t>A</t>
        </is>
      </c>
      <c r="AA7" s="85">
        <f>IFERROR(VALUE(TRIM(LEFT($E7,SEARCH("x",$E7)-1))),"")</f>
        <v/>
      </c>
      <c r="AB7" s="73">
        <f>IFERROR(VALUE(TRIM(MID($E7,SEARCH("x",$E7)+1,10))),"")</f>
        <v/>
      </c>
      <c r="AC7" s="68">
        <f>IF(OR($AA7="",$AB7=""),"",IF($AA7&gt;$AB7,"A",IF($AA7&lt;$AB7,"B","E")))</f>
        <v/>
      </c>
      <c r="AD7" s="53" t="n"/>
    </row>
    <row r="8" ht="15.75" customHeight="1" thickBot="1">
      <c r="A8" s="178" t="n"/>
      <c r="B8" s="25" t="inlineStr">
        <is>
          <t>Haiti x Escócia</t>
        </is>
      </c>
      <c r="C8" s="37">
        <f>TRIM(LEFT(B8,FIND(" x ",B8)-1))</f>
        <v/>
      </c>
      <c r="D8" s="37">
        <f>TRIM(MID(B8,FIND(" x ",B8)+3,100))</f>
        <v/>
      </c>
      <c r="E8" s="47" t="inlineStr">
        <is>
          <t>0x1</t>
        </is>
      </c>
      <c r="F8" s="176" t="n"/>
      <c r="G8" s="81" t="inlineStr">
        <is>
          <t>A</t>
        </is>
      </c>
      <c r="H8" s="63" t="inlineStr">
        <is>
          <t>A</t>
        </is>
      </c>
      <c r="I8" s="63" t="inlineStr">
        <is>
          <t>B</t>
        </is>
      </c>
      <c r="J8" s="63" t="inlineStr">
        <is>
          <t>B</t>
        </is>
      </c>
      <c r="K8" s="63" t="inlineStr">
        <is>
          <t>B</t>
        </is>
      </c>
      <c r="L8" s="63" t="inlineStr">
        <is>
          <t>B</t>
        </is>
      </c>
      <c r="M8" s="63" t="inlineStr">
        <is>
          <t>B</t>
        </is>
      </c>
      <c r="N8" s="63" t="inlineStr">
        <is>
          <t>B</t>
        </is>
      </c>
      <c r="O8" s="63" t="inlineStr">
        <is>
          <t>B</t>
        </is>
      </c>
      <c r="P8" s="63" t="inlineStr">
        <is>
          <t>B</t>
        </is>
      </c>
      <c r="Q8" s="63" t="inlineStr">
        <is>
          <t>B</t>
        </is>
      </c>
      <c r="R8" s="63" t="inlineStr">
        <is>
          <t>B</t>
        </is>
      </c>
      <c r="S8" s="63" t="inlineStr">
        <is>
          <t>B</t>
        </is>
      </c>
      <c r="T8" s="63" t="inlineStr">
        <is>
          <t>B</t>
        </is>
      </c>
      <c r="U8" s="64" t="inlineStr">
        <is>
          <t>B</t>
        </is>
      </c>
      <c r="V8" s="64" t="inlineStr">
        <is>
          <t>B</t>
        </is>
      </c>
      <c r="W8" s="64" t="inlineStr">
        <is>
          <t>B</t>
        </is>
      </c>
      <c r="X8" s="64" t="inlineStr">
        <is>
          <t>A</t>
        </is>
      </c>
      <c r="Y8" s="64" t="inlineStr">
        <is>
          <t>B</t>
        </is>
      </c>
      <c r="Z8" s="63" t="inlineStr">
        <is>
          <t>B</t>
        </is>
      </c>
      <c r="AA8" s="85">
        <f>IFERROR(VALUE(TRIM(LEFT($E8,SEARCH("x",$E8)-1))),"")</f>
        <v/>
      </c>
      <c r="AB8" s="73">
        <f>IFERROR(VALUE(TRIM(MID($E8,SEARCH("x",$E8)+1,10))),"")</f>
        <v/>
      </c>
      <c r="AC8" s="68">
        <f>IF(OR($AA8="",$AB8=""),"",IF($AA8&gt;$AB8,"A",IF($AA8&lt;$AB8,"B","E")))</f>
        <v/>
      </c>
      <c r="AD8" s="53" t="n"/>
    </row>
    <row r="9" ht="15.75" customHeight="1" thickBot="1">
      <c r="A9" s="177" t="n"/>
      <c r="B9" s="26" t="inlineStr">
        <is>
          <t>Austrália x Turquia</t>
        </is>
      </c>
      <c r="C9" s="38">
        <f>TRIM(LEFT(B9,FIND(" x ",B9)-1))</f>
        <v/>
      </c>
      <c r="D9" s="38">
        <f>TRIM(MID(B9,FIND(" x ",B9)+3,100))</f>
        <v/>
      </c>
      <c r="E9" s="48" t="inlineStr">
        <is>
          <t>2x0</t>
        </is>
      </c>
      <c r="F9" s="176" t="n"/>
      <c r="G9" s="95" t="inlineStr">
        <is>
          <t>A</t>
        </is>
      </c>
      <c r="H9" s="96" t="inlineStr">
        <is>
          <t>B</t>
        </is>
      </c>
      <c r="I9" s="96" t="inlineStr">
        <is>
          <t>B</t>
        </is>
      </c>
      <c r="J9" s="96" t="inlineStr">
        <is>
          <t>B</t>
        </is>
      </c>
      <c r="K9" s="96" t="inlineStr">
        <is>
          <t>B</t>
        </is>
      </c>
      <c r="L9" s="96" t="inlineStr">
        <is>
          <t>B</t>
        </is>
      </c>
      <c r="M9" s="96" t="inlineStr">
        <is>
          <t>B</t>
        </is>
      </c>
      <c r="N9" s="96" t="inlineStr">
        <is>
          <t>B</t>
        </is>
      </c>
      <c r="O9" s="96" t="inlineStr">
        <is>
          <t>B</t>
        </is>
      </c>
      <c r="P9" s="96" t="inlineStr">
        <is>
          <t>B</t>
        </is>
      </c>
      <c r="Q9" s="96" t="inlineStr">
        <is>
          <t>A</t>
        </is>
      </c>
      <c r="R9" s="96" t="inlineStr">
        <is>
          <t>A</t>
        </is>
      </c>
      <c r="S9" s="96" t="inlineStr">
        <is>
          <t>B</t>
        </is>
      </c>
      <c r="T9" s="96" t="inlineStr">
        <is>
          <t>B</t>
        </is>
      </c>
      <c r="U9" s="97" t="inlineStr">
        <is>
          <t>B</t>
        </is>
      </c>
      <c r="V9" s="97" t="inlineStr">
        <is>
          <t>B</t>
        </is>
      </c>
      <c r="W9" s="97" t="inlineStr">
        <is>
          <t>B</t>
        </is>
      </c>
      <c r="X9" s="97" t="inlineStr">
        <is>
          <t>A</t>
        </is>
      </c>
      <c r="Y9" s="97" t="inlineStr">
        <is>
          <t>B</t>
        </is>
      </c>
      <c r="Z9" s="96" t="inlineStr">
        <is>
          <t>B</t>
        </is>
      </c>
      <c r="AA9" s="85">
        <f>IFERROR(VALUE(TRIM(LEFT($E9,SEARCH("x",$E9)-1))),"")</f>
        <v/>
      </c>
      <c r="AB9" s="73">
        <f>IFERROR(VALUE(TRIM(MID($E9,SEARCH("x",$E9)+1,10))),"")</f>
        <v/>
      </c>
      <c r="AC9" s="68">
        <f>IF(OR($AA9="",$AB9=""),"",IF($AA9&gt;$AB9,"A",IF($AA9&lt;$AB9,"B","E")))</f>
        <v/>
      </c>
      <c r="AD9" s="53" t="n"/>
    </row>
    <row r="10" ht="15.75" customHeight="1" thickBot="1">
      <c r="A10" s="165" t="n">
        <v>46187</v>
      </c>
      <c r="B10" s="21" t="inlineStr">
        <is>
          <t>Alemanha x Curaçao</t>
        </is>
      </c>
      <c r="C10" s="33">
        <f>TRIM(LEFT(B10,FIND(" x ",B10)-1))</f>
        <v/>
      </c>
      <c r="D10" s="33">
        <f>TRIM(MID(B10,FIND(" x ",B10)+3,100))</f>
        <v/>
      </c>
      <c r="E10" s="45" t="inlineStr">
        <is>
          <t>7x1</t>
        </is>
      </c>
      <c r="F10" s="176" t="n"/>
      <c r="G10" s="79" t="inlineStr">
        <is>
          <t>A</t>
        </is>
      </c>
      <c r="H10" s="65" t="inlineStr">
        <is>
          <t>A</t>
        </is>
      </c>
      <c r="I10" s="65" t="inlineStr">
        <is>
          <t>A</t>
        </is>
      </c>
      <c r="J10" s="65" t="inlineStr">
        <is>
          <t>A</t>
        </is>
      </c>
      <c r="K10" s="65" t="inlineStr">
        <is>
          <t>A</t>
        </is>
      </c>
      <c r="L10" s="65" t="inlineStr">
        <is>
          <t>A</t>
        </is>
      </c>
      <c r="M10" s="65" t="inlineStr">
        <is>
          <t>A</t>
        </is>
      </c>
      <c r="N10" s="65" t="inlineStr">
        <is>
          <t>A</t>
        </is>
      </c>
      <c r="O10" s="65" t="inlineStr">
        <is>
          <t>A</t>
        </is>
      </c>
      <c r="P10" s="65" t="inlineStr">
        <is>
          <t>A</t>
        </is>
      </c>
      <c r="Q10" s="65" t="inlineStr">
        <is>
          <t>A</t>
        </is>
      </c>
      <c r="R10" s="65" t="inlineStr">
        <is>
          <t>A</t>
        </is>
      </c>
      <c r="S10" s="65" t="inlineStr">
        <is>
          <t>A</t>
        </is>
      </c>
      <c r="T10" s="65" t="inlineStr">
        <is>
          <t>A</t>
        </is>
      </c>
      <c r="U10" s="55" t="inlineStr">
        <is>
          <t>A</t>
        </is>
      </c>
      <c r="V10" s="55" t="inlineStr">
        <is>
          <t>A</t>
        </is>
      </c>
      <c r="W10" s="55" t="inlineStr">
        <is>
          <t>A</t>
        </is>
      </c>
      <c r="X10" s="55" t="n"/>
      <c r="Y10" s="55" t="inlineStr">
        <is>
          <t>A</t>
        </is>
      </c>
      <c r="Z10" s="65" t="inlineStr">
        <is>
          <t>A</t>
        </is>
      </c>
      <c r="AA10" s="85">
        <f>IFERROR(VALUE(TRIM(LEFT($E10,SEARCH("x",$E10)-1))),"")</f>
        <v/>
      </c>
      <c r="AB10" s="73">
        <f>IFERROR(VALUE(TRIM(MID($E10,SEARCH("x",$E10)+1,10))),"")</f>
        <v/>
      </c>
      <c r="AC10" s="68">
        <f>IF(OR($AA10="",$AB10=""),"",IF($AA10&gt;$AB10,"A",IF($AA10&lt;$AB10,"B","E")))</f>
        <v/>
      </c>
      <c r="AD10" s="53" t="n"/>
    </row>
    <row r="11" ht="15.75" customHeight="1" thickBot="1">
      <c r="A11" s="178" t="n"/>
      <c r="B11" s="27" t="inlineStr">
        <is>
          <t>Costa do Marfim x Equador</t>
        </is>
      </c>
      <c r="C11" s="39">
        <f>TRIM(LEFT(B11,FIND(" x ",B11)-1))</f>
        <v/>
      </c>
      <c r="D11" s="39">
        <f>TRIM(MID(B11,FIND(" x ",B11)+3,100))</f>
        <v/>
      </c>
      <c r="E11" s="49" t="inlineStr">
        <is>
          <t>1x0</t>
        </is>
      </c>
      <c r="F11" s="176" t="n"/>
      <c r="G11" s="80" t="inlineStr">
        <is>
          <t>A</t>
        </is>
      </c>
      <c r="H11" s="60" t="inlineStr">
        <is>
          <t>E</t>
        </is>
      </c>
      <c r="I11" s="60" t="inlineStr">
        <is>
          <t>A</t>
        </is>
      </c>
      <c r="J11" s="60" t="inlineStr">
        <is>
          <t>E</t>
        </is>
      </c>
      <c r="K11" s="60" t="inlineStr">
        <is>
          <t>E</t>
        </is>
      </c>
      <c r="L11" s="60" t="inlineStr">
        <is>
          <t>B</t>
        </is>
      </c>
      <c r="M11" s="60" t="inlineStr">
        <is>
          <t>E</t>
        </is>
      </c>
      <c r="N11" s="60" t="inlineStr">
        <is>
          <t>B</t>
        </is>
      </c>
      <c r="O11" s="60" t="inlineStr">
        <is>
          <t>B</t>
        </is>
      </c>
      <c r="P11" s="60" t="inlineStr">
        <is>
          <t>A</t>
        </is>
      </c>
      <c r="Q11" s="60" t="inlineStr">
        <is>
          <t>A</t>
        </is>
      </c>
      <c r="R11" s="60" t="inlineStr">
        <is>
          <t>E</t>
        </is>
      </c>
      <c r="S11" s="60" t="inlineStr">
        <is>
          <t>B</t>
        </is>
      </c>
      <c r="T11" s="60" t="inlineStr">
        <is>
          <t>B</t>
        </is>
      </c>
      <c r="U11" s="61" t="inlineStr">
        <is>
          <t>A</t>
        </is>
      </c>
      <c r="V11" s="61" t="inlineStr">
        <is>
          <t>E</t>
        </is>
      </c>
      <c r="W11" s="61" t="inlineStr">
        <is>
          <t>B</t>
        </is>
      </c>
      <c r="X11" s="61" t="inlineStr">
        <is>
          <t>B</t>
        </is>
      </c>
      <c r="Y11" s="61" t="inlineStr">
        <is>
          <t>A</t>
        </is>
      </c>
      <c r="Z11" s="60" t="inlineStr">
        <is>
          <t>B</t>
        </is>
      </c>
      <c r="AA11" s="85">
        <f>IFERROR(VALUE(TRIM(LEFT($E11,SEARCH("x",$E11)-1))),"")</f>
        <v/>
      </c>
      <c r="AB11" s="73">
        <f>IFERROR(VALUE(TRIM(MID($E11,SEARCH("x",$E11)+1,10))),"")</f>
        <v/>
      </c>
      <c r="AC11" s="68">
        <f>IF(OR($AA11="",$AB11=""),"",IF($AA11&gt;$AB11,"A",IF($AA11&lt;$AB11,"B","E")))</f>
        <v/>
      </c>
      <c r="AD11" s="53" t="n"/>
    </row>
    <row r="12" ht="15.75" customHeight="1" thickBot="1">
      <c r="A12" s="178" t="n"/>
      <c r="B12" s="28" t="inlineStr">
        <is>
          <t>Países Baixos x Japão</t>
        </is>
      </c>
      <c r="C12" s="40">
        <f>TRIM(LEFT(B12,FIND(" x ",B12)-1))</f>
        <v/>
      </c>
      <c r="D12" s="40">
        <f>TRIM(MID(B12,FIND(" x ",B12)+3,100))</f>
        <v/>
      </c>
      <c r="E12" s="50" t="inlineStr">
        <is>
          <t>2x2</t>
        </is>
      </c>
      <c r="F12" s="176" t="n"/>
      <c r="G12" s="81" t="inlineStr">
        <is>
          <t>A</t>
        </is>
      </c>
      <c r="H12" s="63" t="inlineStr">
        <is>
          <t>B</t>
        </is>
      </c>
      <c r="I12" s="63" t="inlineStr">
        <is>
          <t>E</t>
        </is>
      </c>
      <c r="J12" s="63" t="inlineStr">
        <is>
          <t>A</t>
        </is>
      </c>
      <c r="K12" s="63" t="inlineStr">
        <is>
          <t>B</t>
        </is>
      </c>
      <c r="L12" s="63" t="inlineStr">
        <is>
          <t>A</t>
        </is>
      </c>
      <c r="M12" s="63" t="inlineStr">
        <is>
          <t>A</t>
        </is>
      </c>
      <c r="N12" s="63" t="inlineStr">
        <is>
          <t>A</t>
        </is>
      </c>
      <c r="O12" s="63" t="inlineStr">
        <is>
          <t>A</t>
        </is>
      </c>
      <c r="P12" s="63" t="inlineStr">
        <is>
          <t>B</t>
        </is>
      </c>
      <c r="Q12" s="63" t="inlineStr">
        <is>
          <t>B</t>
        </is>
      </c>
      <c r="R12" s="63" t="inlineStr">
        <is>
          <t>A</t>
        </is>
      </c>
      <c r="S12" s="63" t="inlineStr">
        <is>
          <t>A</t>
        </is>
      </c>
      <c r="T12" s="63" t="inlineStr">
        <is>
          <t>E</t>
        </is>
      </c>
      <c r="U12" s="64" t="inlineStr">
        <is>
          <t>B</t>
        </is>
      </c>
      <c r="V12" s="64" t="inlineStr">
        <is>
          <t>B</t>
        </is>
      </c>
      <c r="W12" s="64" t="inlineStr">
        <is>
          <t>E</t>
        </is>
      </c>
      <c r="X12" s="64" t="inlineStr">
        <is>
          <t>A</t>
        </is>
      </c>
      <c r="Y12" s="64" t="inlineStr">
        <is>
          <t>A</t>
        </is>
      </c>
      <c r="Z12" s="63" t="inlineStr">
        <is>
          <t>A</t>
        </is>
      </c>
      <c r="AA12" s="85">
        <f>IFERROR(VALUE(TRIM(LEFT($E12,SEARCH("x",$E12)-1))),"")</f>
        <v/>
      </c>
      <c r="AB12" s="73">
        <f>IFERROR(VALUE(TRIM(MID($E12,SEARCH("x",$E12)+1,10))),"")</f>
        <v/>
      </c>
      <c r="AC12" s="68">
        <f>IF(OR($AA12="",$AB12=""),"",IF($AA12&gt;$AB12,"A",IF($AA12&lt;$AB12,"B","E")))</f>
        <v/>
      </c>
      <c r="AD12" s="53" t="n"/>
    </row>
    <row r="13" ht="15.75" customHeight="1" thickBot="1">
      <c r="A13" s="177" t="n"/>
      <c r="B13" s="29" t="inlineStr">
        <is>
          <t>Suécia x Tunísia</t>
        </is>
      </c>
      <c r="C13" s="41">
        <f>TRIM(LEFT(B13,FIND(" x ",B13)-1))</f>
        <v/>
      </c>
      <c r="D13" s="41">
        <f>TRIM(MID(B13,FIND(" x ",B13)+3,100))</f>
        <v/>
      </c>
      <c r="E13" s="51" t="inlineStr">
        <is>
          <t>5x1</t>
        </is>
      </c>
      <c r="F13" s="176" t="n"/>
      <c r="G13" s="95" t="inlineStr">
        <is>
          <t>E</t>
        </is>
      </c>
      <c r="H13" s="96" t="inlineStr">
        <is>
          <t>A</t>
        </is>
      </c>
      <c r="I13" s="96" t="inlineStr">
        <is>
          <t>A</t>
        </is>
      </c>
      <c r="J13" s="96" t="inlineStr">
        <is>
          <t>A</t>
        </is>
      </c>
      <c r="K13" s="96" t="inlineStr">
        <is>
          <t>A</t>
        </is>
      </c>
      <c r="L13" s="96" t="inlineStr">
        <is>
          <t>B</t>
        </is>
      </c>
      <c r="M13" s="96" t="inlineStr">
        <is>
          <t>A</t>
        </is>
      </c>
      <c r="N13" s="96" t="inlineStr">
        <is>
          <t>A</t>
        </is>
      </c>
      <c r="O13" s="96" t="inlineStr">
        <is>
          <t>E</t>
        </is>
      </c>
      <c r="P13" s="96" t="inlineStr">
        <is>
          <t>A</t>
        </is>
      </c>
      <c r="Q13" s="96" t="inlineStr">
        <is>
          <t>B</t>
        </is>
      </c>
      <c r="R13" s="96" t="inlineStr">
        <is>
          <t>E</t>
        </is>
      </c>
      <c r="S13" s="96" t="inlineStr">
        <is>
          <t>A</t>
        </is>
      </c>
      <c r="T13" s="96" t="inlineStr">
        <is>
          <t>A</t>
        </is>
      </c>
      <c r="U13" s="97" t="inlineStr">
        <is>
          <t>A</t>
        </is>
      </c>
      <c r="V13" s="97" t="inlineStr">
        <is>
          <t>E</t>
        </is>
      </c>
      <c r="W13" s="97" t="inlineStr">
        <is>
          <t>A</t>
        </is>
      </c>
      <c r="X13" s="97" t="inlineStr">
        <is>
          <t>A</t>
        </is>
      </c>
      <c r="Y13" s="97" t="inlineStr">
        <is>
          <t>A</t>
        </is>
      </c>
      <c r="Z13" s="96" t="inlineStr">
        <is>
          <t>A</t>
        </is>
      </c>
      <c r="AA13" s="85">
        <f>IFERROR(VALUE(TRIM(LEFT($E13,SEARCH("x",$E13)-1))),"")</f>
        <v/>
      </c>
      <c r="AB13" s="73">
        <f>IFERROR(VALUE(TRIM(MID($E13,SEARCH("x",$E13)+1,10))),"")</f>
        <v/>
      </c>
      <c r="AC13" s="68">
        <f>IF(OR($AA13="",$AB13=""),"",IF($AA13&gt;$AB13,"A",IF($AA13&lt;$AB13,"B","E")))</f>
        <v/>
      </c>
      <c r="AD13" s="53" t="n"/>
    </row>
    <row r="14" ht="15.75" customHeight="1" thickBot="1">
      <c r="A14" s="161" t="n">
        <v>46188</v>
      </c>
      <c r="B14" s="23" t="inlineStr">
        <is>
          <t>Bélgica x Egito</t>
        </is>
      </c>
      <c r="C14" s="35">
        <f>TRIM(LEFT(B14,FIND(" x ",B14)-1))</f>
        <v/>
      </c>
      <c r="D14" s="35">
        <f>TRIM(MID(B14,FIND(" x ",B14)+3,100))</f>
        <v/>
      </c>
      <c r="E14" s="43" t="inlineStr">
        <is>
          <t>1x1</t>
        </is>
      </c>
      <c r="F14" s="176" t="n"/>
      <c r="G14" s="79" t="inlineStr">
        <is>
          <t>A</t>
        </is>
      </c>
      <c r="H14" s="58" t="inlineStr">
        <is>
          <t>A</t>
        </is>
      </c>
      <c r="I14" s="58" t="inlineStr">
        <is>
          <t>A</t>
        </is>
      </c>
      <c r="J14" s="65" t="inlineStr">
        <is>
          <t>E</t>
        </is>
      </c>
      <c r="K14" s="65" t="inlineStr">
        <is>
          <t>A</t>
        </is>
      </c>
      <c r="L14" s="65" t="inlineStr">
        <is>
          <t>A</t>
        </is>
      </c>
      <c r="M14" s="65" t="inlineStr">
        <is>
          <t>A</t>
        </is>
      </c>
      <c r="N14" s="65" t="inlineStr">
        <is>
          <t>A</t>
        </is>
      </c>
      <c r="O14" s="65" t="inlineStr">
        <is>
          <t>A</t>
        </is>
      </c>
      <c r="P14" s="65" t="inlineStr">
        <is>
          <t>A</t>
        </is>
      </c>
      <c r="Q14" s="65" t="inlineStr">
        <is>
          <t>A</t>
        </is>
      </c>
      <c r="R14" s="65" t="inlineStr">
        <is>
          <t>A</t>
        </is>
      </c>
      <c r="S14" s="65" t="inlineStr">
        <is>
          <t>A</t>
        </is>
      </c>
      <c r="T14" s="65" t="inlineStr">
        <is>
          <t>A</t>
        </is>
      </c>
      <c r="U14" s="65" t="inlineStr">
        <is>
          <t>A</t>
        </is>
      </c>
      <c r="V14" s="65" t="inlineStr">
        <is>
          <t>A</t>
        </is>
      </c>
      <c r="W14" s="65" t="inlineStr">
        <is>
          <t>A</t>
        </is>
      </c>
      <c r="X14" s="65" t="inlineStr">
        <is>
          <t>A</t>
        </is>
      </c>
      <c r="Y14" s="65" t="inlineStr">
        <is>
          <t>A</t>
        </is>
      </c>
      <c r="Z14" s="65" t="inlineStr">
        <is>
          <t>A</t>
        </is>
      </c>
      <c r="AA14" s="85">
        <f>IFERROR(VALUE(TRIM(LEFT($E14,SEARCH("x",$E14)-1))),"")</f>
        <v/>
      </c>
      <c r="AB14" s="73">
        <f>IFERROR(VALUE(TRIM(MID($E14,SEARCH("x",$E14)+1,10))),"")</f>
        <v/>
      </c>
      <c r="AC14" s="68">
        <f>IF(OR($AA14="",$AB14=""),"",IF($AA14&gt;$AB14,"A",IF($AA14&lt;$AB14,"B","E")))</f>
        <v/>
      </c>
      <c r="AD14" s="53" t="n"/>
    </row>
    <row r="15" ht="15.75" customHeight="1" thickBot="1">
      <c r="A15" s="178" t="n"/>
      <c r="B15" s="24" t="inlineStr">
        <is>
          <t>Irã x Nova Zelândia</t>
        </is>
      </c>
      <c r="C15" s="36">
        <f>TRIM(LEFT(B15,FIND(" x ",B15)-1))</f>
        <v/>
      </c>
      <c r="D15" s="36">
        <f>TRIM(MID(B15,FIND(" x ",B15)+3,100))</f>
        <v/>
      </c>
      <c r="E15" s="46" t="inlineStr">
        <is>
          <t>2x2</t>
        </is>
      </c>
      <c r="F15" s="176" t="n"/>
      <c r="G15" s="80" t="inlineStr">
        <is>
          <t>E</t>
        </is>
      </c>
      <c r="H15" s="60" t="inlineStr">
        <is>
          <t>E</t>
        </is>
      </c>
      <c r="I15" s="60" t="inlineStr">
        <is>
          <t>A</t>
        </is>
      </c>
      <c r="J15" s="60" t="inlineStr">
        <is>
          <t>A</t>
        </is>
      </c>
      <c r="K15" s="60" t="inlineStr">
        <is>
          <t>E</t>
        </is>
      </c>
      <c r="L15" s="60" t="inlineStr">
        <is>
          <t>E</t>
        </is>
      </c>
      <c r="M15" s="60" t="inlineStr">
        <is>
          <t>A</t>
        </is>
      </c>
      <c r="N15" s="60" t="inlineStr">
        <is>
          <t>A</t>
        </is>
      </c>
      <c r="O15" s="60" t="inlineStr">
        <is>
          <t>A</t>
        </is>
      </c>
      <c r="P15" s="60" t="inlineStr">
        <is>
          <t>E</t>
        </is>
      </c>
      <c r="Q15" s="60" t="inlineStr">
        <is>
          <t>A</t>
        </is>
      </c>
      <c r="R15" s="60" t="inlineStr">
        <is>
          <t>E</t>
        </is>
      </c>
      <c r="S15" s="60" t="inlineStr">
        <is>
          <t>B</t>
        </is>
      </c>
      <c r="T15" s="61" t="inlineStr">
        <is>
          <t>A</t>
        </is>
      </c>
      <c r="U15" s="61" t="inlineStr">
        <is>
          <t>A</t>
        </is>
      </c>
      <c r="V15" s="61" t="inlineStr">
        <is>
          <t>A</t>
        </is>
      </c>
      <c r="W15" s="61" t="inlineStr">
        <is>
          <t>A</t>
        </is>
      </c>
      <c r="X15" s="61" t="inlineStr">
        <is>
          <t>A</t>
        </is>
      </c>
      <c r="Y15" s="61" t="inlineStr">
        <is>
          <t>B</t>
        </is>
      </c>
      <c r="Z15" s="60" t="inlineStr">
        <is>
          <t>A</t>
        </is>
      </c>
      <c r="AA15" s="85">
        <f>IFERROR(VALUE(TRIM(LEFT($E15,SEARCH("x",$E15)-1))),"")</f>
        <v/>
      </c>
      <c r="AB15" s="73">
        <f>IFERROR(VALUE(TRIM(MID($E15,SEARCH("x",$E15)+1,10))),"")</f>
        <v/>
      </c>
      <c r="AC15" s="68">
        <f>IF(OR($AA15="",$AB15=""),"",IF($AA15&gt;$AB15,"A",IF($AA15&lt;$AB15,"B","E")))</f>
        <v/>
      </c>
      <c r="AD15" s="53" t="n"/>
    </row>
    <row r="16" ht="15.75" customHeight="1" thickBot="1">
      <c r="A16" s="178" t="n"/>
      <c r="B16" s="25" t="inlineStr">
        <is>
          <t>Espanha x Cabo Verde</t>
        </is>
      </c>
      <c r="C16" s="37">
        <f>TRIM(LEFT(B16,FIND(" x ",B16)-1))</f>
        <v/>
      </c>
      <c r="D16" s="37">
        <f>TRIM(MID(B16,FIND(" x ",B16)+3,100))</f>
        <v/>
      </c>
      <c r="E16" s="47" t="inlineStr">
        <is>
          <t>0x0</t>
        </is>
      </c>
      <c r="F16" s="176" t="n"/>
      <c r="G16" s="81" t="inlineStr">
        <is>
          <t>A</t>
        </is>
      </c>
      <c r="H16" s="62" t="inlineStr">
        <is>
          <t>A</t>
        </is>
      </c>
      <c r="I16" s="62" t="inlineStr">
        <is>
          <t>A</t>
        </is>
      </c>
      <c r="J16" s="62" t="inlineStr">
        <is>
          <t>A</t>
        </is>
      </c>
      <c r="K16" s="62" t="inlineStr">
        <is>
          <t>A</t>
        </is>
      </c>
      <c r="L16" s="62" t="inlineStr">
        <is>
          <t>A</t>
        </is>
      </c>
      <c r="M16" s="62" t="inlineStr">
        <is>
          <t>A</t>
        </is>
      </c>
      <c r="N16" s="62" t="inlineStr">
        <is>
          <t>A</t>
        </is>
      </c>
      <c r="O16" s="62" t="inlineStr">
        <is>
          <t>A</t>
        </is>
      </c>
      <c r="P16" s="62" t="inlineStr">
        <is>
          <t>A</t>
        </is>
      </c>
      <c r="Q16" s="62" t="inlineStr">
        <is>
          <t>A</t>
        </is>
      </c>
      <c r="R16" s="62" t="inlineStr">
        <is>
          <t>A</t>
        </is>
      </c>
      <c r="S16" s="62" t="inlineStr">
        <is>
          <t>A</t>
        </is>
      </c>
      <c r="T16" s="62" t="inlineStr">
        <is>
          <t>A</t>
        </is>
      </c>
      <c r="U16" s="62" t="inlineStr">
        <is>
          <t>A</t>
        </is>
      </c>
      <c r="V16" s="62" t="inlineStr">
        <is>
          <t>A</t>
        </is>
      </c>
      <c r="W16" s="62" t="inlineStr">
        <is>
          <t>A</t>
        </is>
      </c>
      <c r="X16" s="62" t="inlineStr">
        <is>
          <t>A</t>
        </is>
      </c>
      <c r="Y16" s="62" t="inlineStr">
        <is>
          <t>A</t>
        </is>
      </c>
      <c r="Z16" s="101" t="inlineStr">
        <is>
          <t>A</t>
        </is>
      </c>
      <c r="AA16" s="85">
        <f>IFERROR(VALUE(TRIM(LEFT($E16,SEARCH("x",$E16)-1))),"")</f>
        <v/>
      </c>
      <c r="AB16" s="73">
        <f>IFERROR(VALUE(TRIM(MID($E16,SEARCH("x",$E16)+1,10))),"")</f>
        <v/>
      </c>
      <c r="AC16" s="68">
        <f>IF(OR($AA16="",$AB16=""),"",IF($AA16&gt;$AB16,"A",IF($AA16&lt;$AB16,"B","E")))</f>
        <v/>
      </c>
      <c r="AD16" s="53" t="n"/>
    </row>
    <row r="17" ht="15.75" customHeight="1" thickBot="1">
      <c r="A17" s="177" t="n"/>
      <c r="B17" s="26" t="inlineStr">
        <is>
          <t>Arábia Saudita x Uruguai</t>
        </is>
      </c>
      <c r="C17" s="38">
        <f>TRIM(LEFT(B17,FIND(" x ",B17)-1))</f>
        <v/>
      </c>
      <c r="D17" s="38">
        <f>TRIM(MID(B17,FIND(" x ",B17)+3,100))</f>
        <v/>
      </c>
      <c r="E17" s="48" t="inlineStr">
        <is>
          <t>1x1</t>
        </is>
      </c>
      <c r="F17" s="176" t="n"/>
      <c r="G17" s="95" t="inlineStr">
        <is>
          <t>B</t>
        </is>
      </c>
      <c r="H17" s="102" t="inlineStr">
        <is>
          <t>B</t>
        </is>
      </c>
      <c r="I17" s="102" t="inlineStr">
        <is>
          <t>B</t>
        </is>
      </c>
      <c r="J17" s="102" t="inlineStr">
        <is>
          <t>B</t>
        </is>
      </c>
      <c r="K17" s="102" t="inlineStr">
        <is>
          <t>B</t>
        </is>
      </c>
      <c r="L17" s="102" t="inlineStr">
        <is>
          <t>B</t>
        </is>
      </c>
      <c r="M17" s="102" t="inlineStr">
        <is>
          <t>B</t>
        </is>
      </c>
      <c r="N17" s="102" t="inlineStr">
        <is>
          <t>B</t>
        </is>
      </c>
      <c r="O17" s="102" t="inlineStr">
        <is>
          <t>B</t>
        </is>
      </c>
      <c r="P17" s="102" t="inlineStr">
        <is>
          <t>B</t>
        </is>
      </c>
      <c r="Q17" s="96" t="inlineStr">
        <is>
          <t>A</t>
        </is>
      </c>
      <c r="R17" s="96" t="inlineStr">
        <is>
          <t>B</t>
        </is>
      </c>
      <c r="S17" s="96" t="inlineStr">
        <is>
          <t>B</t>
        </is>
      </c>
      <c r="T17" s="96" t="inlineStr">
        <is>
          <t>B</t>
        </is>
      </c>
      <c r="U17" s="96" t="inlineStr">
        <is>
          <t>B</t>
        </is>
      </c>
      <c r="V17" s="96" t="inlineStr">
        <is>
          <t>B</t>
        </is>
      </c>
      <c r="W17" s="96" t="inlineStr">
        <is>
          <t>B</t>
        </is>
      </c>
      <c r="X17" s="96" t="inlineStr">
        <is>
          <t>B</t>
        </is>
      </c>
      <c r="Y17" s="96" t="inlineStr">
        <is>
          <t>B</t>
        </is>
      </c>
      <c r="Z17" s="96" t="inlineStr">
        <is>
          <t>B</t>
        </is>
      </c>
      <c r="AA17" s="85">
        <f>IFERROR(VALUE(TRIM(LEFT($E17,SEARCH("x",$E17)-1))),"")</f>
        <v/>
      </c>
      <c r="AB17" s="73">
        <f>IFERROR(VALUE(TRIM(MID($E17,SEARCH("x",$E17)+1,10))),"")</f>
        <v/>
      </c>
      <c r="AC17" s="68">
        <f>IF(OR($AA17="",$AB17=""),"",IF($AA17&gt;$AB17,"A",IF($AA17&lt;$AB17,"B","E")))</f>
        <v/>
      </c>
      <c r="AD17" s="53" t="n"/>
    </row>
    <row r="18" ht="15.75" customHeight="1" thickBot="1">
      <c r="A18" s="165" t="n">
        <v>46189</v>
      </c>
      <c r="B18" s="21" t="inlineStr">
        <is>
          <t>França x Senegal</t>
        </is>
      </c>
      <c r="C18" s="33">
        <f>TRIM(LEFT(B18,FIND(" x ",B18)-1))</f>
        <v/>
      </c>
      <c r="D18" s="33">
        <f>TRIM(MID(B18,FIND(" x ",B18)+3,100))</f>
        <v/>
      </c>
      <c r="E18" s="45" t="inlineStr">
        <is>
          <t>3x1</t>
        </is>
      </c>
      <c r="F18" s="176" t="n"/>
      <c r="G18" s="79" t="inlineStr">
        <is>
          <t>A</t>
        </is>
      </c>
      <c r="H18" s="65" t="inlineStr">
        <is>
          <t>A</t>
        </is>
      </c>
      <c r="I18" s="65" t="inlineStr">
        <is>
          <t>A</t>
        </is>
      </c>
      <c r="J18" s="65" t="inlineStr">
        <is>
          <t>A</t>
        </is>
      </c>
      <c r="K18" s="65" t="inlineStr">
        <is>
          <t>A</t>
        </is>
      </c>
      <c r="L18" s="65" t="inlineStr">
        <is>
          <t>A</t>
        </is>
      </c>
      <c r="M18" s="65" t="inlineStr">
        <is>
          <t>A</t>
        </is>
      </c>
      <c r="N18" s="65" t="inlineStr">
        <is>
          <t>A</t>
        </is>
      </c>
      <c r="O18" s="65" t="inlineStr">
        <is>
          <t>A</t>
        </is>
      </c>
      <c r="P18" s="65" t="inlineStr">
        <is>
          <t>A</t>
        </is>
      </c>
      <c r="Q18" s="65" t="inlineStr">
        <is>
          <t>A</t>
        </is>
      </c>
      <c r="R18" s="65" t="inlineStr">
        <is>
          <t>A</t>
        </is>
      </c>
      <c r="S18" s="65" t="inlineStr">
        <is>
          <t>A</t>
        </is>
      </c>
      <c r="T18" s="65" t="inlineStr">
        <is>
          <t>A</t>
        </is>
      </c>
      <c r="U18" s="55" t="inlineStr">
        <is>
          <t>A</t>
        </is>
      </c>
      <c r="V18" s="55" t="inlineStr">
        <is>
          <t>A</t>
        </is>
      </c>
      <c r="W18" s="55" t="inlineStr">
        <is>
          <t>A</t>
        </is>
      </c>
      <c r="X18" s="55" t="inlineStr">
        <is>
          <t>A</t>
        </is>
      </c>
      <c r="Y18" s="55" t="inlineStr">
        <is>
          <t>A</t>
        </is>
      </c>
      <c r="Z18" s="65" t="inlineStr">
        <is>
          <t>A</t>
        </is>
      </c>
      <c r="AA18" s="85">
        <f>IFERROR(VALUE(TRIM(LEFT($E18,SEARCH("x",$E18)-1))),"")</f>
        <v/>
      </c>
      <c r="AB18" s="73">
        <f>IFERROR(VALUE(TRIM(MID($E18,SEARCH("x",$E18)+1,10))),"")</f>
        <v/>
      </c>
      <c r="AC18" s="68">
        <f>IF(OR($AA18="",$AB18=""),"",IF($AA18&gt;$AB18,"A",IF($AA18&lt;$AB18,"B","E")))</f>
        <v/>
      </c>
      <c r="AD18" s="53" t="n"/>
    </row>
    <row r="19" ht="15.75" customHeight="1" thickBot="1">
      <c r="A19" s="178" t="n"/>
      <c r="B19" s="27" t="inlineStr">
        <is>
          <t>Iraque x Noruega</t>
        </is>
      </c>
      <c r="C19" s="39">
        <f>TRIM(LEFT(B19,FIND(" x ",B19)-1))</f>
        <v/>
      </c>
      <c r="D19" s="39">
        <f>TRIM(MID(B19,FIND(" x ",B19)+3,100))</f>
        <v/>
      </c>
      <c r="E19" s="49" t="inlineStr">
        <is>
          <t>1x4</t>
        </is>
      </c>
      <c r="F19" s="176" t="n"/>
      <c r="G19" s="80" t="inlineStr">
        <is>
          <t>E</t>
        </is>
      </c>
      <c r="H19" s="60" t="inlineStr">
        <is>
          <t>B</t>
        </is>
      </c>
      <c r="I19" s="60" t="inlineStr">
        <is>
          <t>B</t>
        </is>
      </c>
      <c r="J19" s="60" t="inlineStr">
        <is>
          <t>B</t>
        </is>
      </c>
      <c r="K19" s="60" t="inlineStr">
        <is>
          <t>B</t>
        </is>
      </c>
      <c r="L19" s="60" t="inlineStr">
        <is>
          <t>E</t>
        </is>
      </c>
      <c r="M19" s="60" t="inlineStr">
        <is>
          <t>B</t>
        </is>
      </c>
      <c r="N19" s="60" t="inlineStr">
        <is>
          <t>B</t>
        </is>
      </c>
      <c r="O19" s="60" t="inlineStr">
        <is>
          <t>E</t>
        </is>
      </c>
      <c r="P19" s="60" t="inlineStr">
        <is>
          <t>B</t>
        </is>
      </c>
      <c r="Q19" s="60" t="inlineStr">
        <is>
          <t>A</t>
        </is>
      </c>
      <c r="R19" s="60" t="inlineStr">
        <is>
          <t>E</t>
        </is>
      </c>
      <c r="S19" s="60" t="inlineStr">
        <is>
          <t>B</t>
        </is>
      </c>
      <c r="T19" s="60" t="inlineStr">
        <is>
          <t>B</t>
        </is>
      </c>
      <c r="U19" s="61" t="inlineStr">
        <is>
          <t>B</t>
        </is>
      </c>
      <c r="V19" s="61" t="inlineStr">
        <is>
          <t>B</t>
        </is>
      </c>
      <c r="W19" s="61" t="inlineStr">
        <is>
          <t>B</t>
        </is>
      </c>
      <c r="X19" s="61" t="inlineStr">
        <is>
          <t>B</t>
        </is>
      </c>
      <c r="Y19" s="61" t="inlineStr">
        <is>
          <t>B</t>
        </is>
      </c>
      <c r="Z19" s="60" t="inlineStr">
        <is>
          <t>A</t>
        </is>
      </c>
      <c r="AA19" s="85">
        <f>IFERROR(VALUE(TRIM(LEFT($E19,SEARCH("x",$E19)-1))),"")</f>
        <v/>
      </c>
      <c r="AB19" s="73">
        <f>IFERROR(VALUE(TRIM(MID($E19,SEARCH("x",$E19)+1,10))),"")</f>
        <v/>
      </c>
      <c r="AC19" s="68">
        <f>IF(OR($AA19="",$AB19=""),"",IF($AA19&gt;$AB19,"A",IF($AA19&lt;$AB19,"B","E")))</f>
        <v/>
      </c>
      <c r="AD19" s="53" t="n"/>
    </row>
    <row r="20" ht="15.75" customHeight="1" thickBot="1">
      <c r="A20" s="178" t="n"/>
      <c r="B20" s="28" t="inlineStr">
        <is>
          <t>Argentina x Argélia</t>
        </is>
      </c>
      <c r="C20" s="40">
        <f>TRIM(LEFT(B20,FIND(" x ",B20)-1))</f>
        <v/>
      </c>
      <c r="D20" s="40">
        <f>TRIM(MID(B20,FIND(" x ",B20)+3,100))</f>
        <v/>
      </c>
      <c r="E20" s="50" t="inlineStr">
        <is>
          <t>3x0</t>
        </is>
      </c>
      <c r="F20" s="176" t="n"/>
      <c r="G20" s="81" t="inlineStr">
        <is>
          <t>A</t>
        </is>
      </c>
      <c r="H20" s="63" t="inlineStr">
        <is>
          <t>A</t>
        </is>
      </c>
      <c r="I20" s="63" t="inlineStr">
        <is>
          <t>A</t>
        </is>
      </c>
      <c r="J20" s="63" t="inlineStr">
        <is>
          <t>A</t>
        </is>
      </c>
      <c r="K20" s="63" t="inlineStr">
        <is>
          <t>A</t>
        </is>
      </c>
      <c r="L20" s="63" t="inlineStr">
        <is>
          <t>A</t>
        </is>
      </c>
      <c r="M20" s="63" t="inlineStr">
        <is>
          <t>A</t>
        </is>
      </c>
      <c r="N20" s="63" t="inlineStr">
        <is>
          <t>A</t>
        </is>
      </c>
      <c r="O20" s="63" t="inlineStr">
        <is>
          <t>A</t>
        </is>
      </c>
      <c r="P20" s="63" t="inlineStr">
        <is>
          <t>A</t>
        </is>
      </c>
      <c r="Q20" s="63" t="inlineStr">
        <is>
          <t>A</t>
        </is>
      </c>
      <c r="R20" s="63" t="inlineStr">
        <is>
          <t>A</t>
        </is>
      </c>
      <c r="S20" s="63" t="inlineStr">
        <is>
          <t>A</t>
        </is>
      </c>
      <c r="T20" s="63" t="inlineStr">
        <is>
          <t>E</t>
        </is>
      </c>
      <c r="U20" s="64" t="inlineStr">
        <is>
          <t>A</t>
        </is>
      </c>
      <c r="V20" s="64" t="inlineStr">
        <is>
          <t>A</t>
        </is>
      </c>
      <c r="W20" s="64" t="inlineStr">
        <is>
          <t>A</t>
        </is>
      </c>
      <c r="X20" s="64" t="inlineStr">
        <is>
          <t>A</t>
        </is>
      </c>
      <c r="Y20" s="64" t="inlineStr">
        <is>
          <t>A</t>
        </is>
      </c>
      <c r="Z20" s="63" t="inlineStr">
        <is>
          <t>A</t>
        </is>
      </c>
      <c r="AA20" s="85">
        <f>IFERROR(VALUE(TRIM(LEFT($E20,SEARCH("x",$E20)-1))),"")</f>
        <v/>
      </c>
      <c r="AB20" s="73">
        <f>IFERROR(VALUE(TRIM(MID($E20,SEARCH("x",$E20)+1,10))),"")</f>
        <v/>
      </c>
      <c r="AC20" s="68">
        <f>IF(OR($AA20="",$AB20=""),"",IF($AA20&gt;$AB20,"A",IF($AA20&lt;$AB20,"B","E")))</f>
        <v/>
      </c>
      <c r="AD20" s="53" t="n"/>
    </row>
    <row r="21" ht="15.75" customHeight="1" thickBot="1">
      <c r="A21" s="177" t="n"/>
      <c r="B21" s="29" t="inlineStr">
        <is>
          <t>Áustria x Jordânia</t>
        </is>
      </c>
      <c r="C21" s="41">
        <f>TRIM(LEFT(B21,FIND(" x ",B21)-1))</f>
        <v/>
      </c>
      <c r="D21" s="41">
        <f>TRIM(MID(B21,FIND(" x ",B21)+3,100))</f>
        <v/>
      </c>
      <c r="E21" s="51" t="inlineStr">
        <is>
          <t>3x1</t>
        </is>
      </c>
      <c r="F21" s="176" t="n"/>
      <c r="G21" s="82" t="inlineStr">
        <is>
          <t>A</t>
        </is>
      </c>
      <c r="H21" s="74" t="inlineStr">
        <is>
          <t>E</t>
        </is>
      </c>
      <c r="I21" s="74" t="inlineStr">
        <is>
          <t>E</t>
        </is>
      </c>
      <c r="J21" s="75" t="inlineStr">
        <is>
          <t>A</t>
        </is>
      </c>
      <c r="K21" s="75" t="inlineStr">
        <is>
          <t>A</t>
        </is>
      </c>
      <c r="L21" s="75" t="inlineStr">
        <is>
          <t>A</t>
        </is>
      </c>
      <c r="M21" s="75" t="inlineStr">
        <is>
          <t>A</t>
        </is>
      </c>
      <c r="N21" s="75" t="inlineStr">
        <is>
          <t>A</t>
        </is>
      </c>
      <c r="O21" s="75" t="inlineStr">
        <is>
          <t>A</t>
        </is>
      </c>
      <c r="P21" s="75" t="inlineStr">
        <is>
          <t>A</t>
        </is>
      </c>
      <c r="Q21" s="75" t="inlineStr">
        <is>
          <t>A</t>
        </is>
      </c>
      <c r="R21" s="75" t="inlineStr">
        <is>
          <t>A</t>
        </is>
      </c>
      <c r="S21" s="74" t="inlineStr">
        <is>
          <t>E</t>
        </is>
      </c>
      <c r="T21" s="75" t="inlineStr">
        <is>
          <t>A</t>
        </is>
      </c>
      <c r="U21" s="76" t="inlineStr">
        <is>
          <t>A</t>
        </is>
      </c>
      <c r="V21" s="77" t="inlineStr">
        <is>
          <t>E</t>
        </is>
      </c>
      <c r="W21" s="76" t="inlineStr">
        <is>
          <t>A</t>
        </is>
      </c>
      <c r="X21" s="77" t="inlineStr">
        <is>
          <t>E</t>
        </is>
      </c>
      <c r="Y21" s="76" t="inlineStr">
        <is>
          <t>A</t>
        </is>
      </c>
      <c r="Z21" s="75" t="inlineStr">
        <is>
          <t>A</t>
        </is>
      </c>
      <c r="AA21" s="85">
        <f>IFERROR(VALUE(TRIM(LEFT($E21,SEARCH("x",$E21)-1))),"")</f>
        <v/>
      </c>
      <c r="AB21" s="73">
        <f>IFERROR(VALUE(TRIM(MID($E21,SEARCH("x",$E21)+1,10))),"")</f>
        <v/>
      </c>
      <c r="AC21" s="68">
        <f>IF(OR($AA21="",$AB21=""),"",IF($AA21&gt;$AB21,"A",IF($AA21&lt;$AB21,"B","E")))</f>
        <v/>
      </c>
      <c r="AD21" s="53" t="n"/>
    </row>
    <row r="22" ht="15.75" customHeight="1" thickBot="1">
      <c r="A22" s="161" t="n">
        <v>46190</v>
      </c>
      <c r="B22" s="23" t="inlineStr">
        <is>
          <t>Portugal x Rep. Dem. Congo</t>
        </is>
      </c>
      <c r="C22" s="35">
        <f>TRIM(LEFT(B22,FIND(" x ",B22)-1))</f>
        <v/>
      </c>
      <c r="D22" s="35">
        <f>TRIM(MID(B22,FIND(" x ",B22)+3,100))</f>
        <v/>
      </c>
      <c r="E22" s="43" t="inlineStr">
        <is>
          <t>1x1</t>
        </is>
      </c>
      <c r="F22" s="176" t="n"/>
      <c r="G22" s="103" t="inlineStr">
        <is>
          <t>A</t>
        </is>
      </c>
      <c r="H22" s="104" t="inlineStr">
        <is>
          <t>A</t>
        </is>
      </c>
      <c r="I22" s="104" t="inlineStr">
        <is>
          <t>A</t>
        </is>
      </c>
      <c r="J22" s="104" t="inlineStr">
        <is>
          <t>A</t>
        </is>
      </c>
      <c r="K22" s="104" t="inlineStr">
        <is>
          <t>A</t>
        </is>
      </c>
      <c r="L22" s="104" t="inlineStr">
        <is>
          <t>A</t>
        </is>
      </c>
      <c r="M22" s="104" t="inlineStr">
        <is>
          <t>A</t>
        </is>
      </c>
      <c r="N22" s="104" t="inlineStr">
        <is>
          <t>A</t>
        </is>
      </c>
      <c r="O22" s="104" t="inlineStr">
        <is>
          <t>A</t>
        </is>
      </c>
      <c r="P22" s="104" t="inlineStr">
        <is>
          <t>A</t>
        </is>
      </c>
      <c r="Q22" s="104" t="inlineStr">
        <is>
          <t>A</t>
        </is>
      </c>
      <c r="R22" s="104" t="inlineStr">
        <is>
          <t>A</t>
        </is>
      </c>
      <c r="S22" s="104" t="inlineStr">
        <is>
          <t>A</t>
        </is>
      </c>
      <c r="T22" s="104" t="inlineStr">
        <is>
          <t>A</t>
        </is>
      </c>
      <c r="U22" s="104" t="inlineStr">
        <is>
          <t>A</t>
        </is>
      </c>
      <c r="V22" s="104" t="inlineStr">
        <is>
          <t>A</t>
        </is>
      </c>
      <c r="W22" s="104" t="inlineStr">
        <is>
          <t>A</t>
        </is>
      </c>
      <c r="X22" s="104" t="inlineStr">
        <is>
          <t>A</t>
        </is>
      </c>
      <c r="Y22" s="104" t="inlineStr">
        <is>
          <t>A</t>
        </is>
      </c>
      <c r="Z22" s="105" t="inlineStr">
        <is>
          <t>A</t>
        </is>
      </c>
      <c r="AA22" s="85">
        <f>IFERROR(VALUE(TRIM(LEFT($E22,SEARCH("x",$E22)-1))),"")</f>
        <v/>
      </c>
      <c r="AB22" s="73">
        <f>IFERROR(VALUE(TRIM(MID($E22,SEARCH("x",$E22)+1,10))),"")</f>
        <v/>
      </c>
      <c r="AC22" s="68">
        <f>IF(OR($AA22="",$AB22=""),"",IF($AA22&gt;$AB22,"A",IF($AA22&lt;$AB22,"B","E")))</f>
        <v/>
      </c>
      <c r="AD22" s="53" t="n"/>
    </row>
    <row r="23" ht="15.75" customHeight="1" thickBot="1">
      <c r="A23" s="178" t="n"/>
      <c r="B23" s="24" t="inlineStr">
        <is>
          <t>Uzbequistão x Colômbia</t>
        </is>
      </c>
      <c r="C23" s="36">
        <f>TRIM(LEFT(B23,FIND(" x ",B23)-1))</f>
        <v/>
      </c>
      <c r="D23" s="36">
        <f>TRIM(MID(B23,FIND(" x ",B23)+3,100))</f>
        <v/>
      </c>
      <c r="E23" s="43" t="inlineStr">
        <is>
          <t>1x3</t>
        </is>
      </c>
      <c r="F23" s="176" t="n"/>
      <c r="G23" s="80" t="inlineStr">
        <is>
          <t>B</t>
        </is>
      </c>
      <c r="H23" s="59" t="inlineStr">
        <is>
          <t>B</t>
        </is>
      </c>
      <c r="I23" s="59" t="inlineStr">
        <is>
          <t>B</t>
        </is>
      </c>
      <c r="J23" s="59" t="inlineStr">
        <is>
          <t>E</t>
        </is>
      </c>
      <c r="K23" s="59" t="inlineStr">
        <is>
          <t>B</t>
        </is>
      </c>
      <c r="L23" s="59" t="inlineStr">
        <is>
          <t>B</t>
        </is>
      </c>
      <c r="M23" s="59" t="inlineStr">
        <is>
          <t>B</t>
        </is>
      </c>
      <c r="N23" s="59" t="inlineStr">
        <is>
          <t>B</t>
        </is>
      </c>
      <c r="O23" s="59" t="inlineStr">
        <is>
          <t>B</t>
        </is>
      </c>
      <c r="P23" s="59" t="inlineStr">
        <is>
          <t>B</t>
        </is>
      </c>
      <c r="Q23" s="59" t="inlineStr">
        <is>
          <t>B</t>
        </is>
      </c>
      <c r="R23" s="59" t="inlineStr">
        <is>
          <t>B</t>
        </is>
      </c>
      <c r="S23" s="59" t="inlineStr">
        <is>
          <t>B</t>
        </is>
      </c>
      <c r="T23" s="59" t="inlineStr">
        <is>
          <t>B</t>
        </is>
      </c>
      <c r="U23" s="59" t="inlineStr">
        <is>
          <t>B</t>
        </is>
      </c>
      <c r="V23" s="59" t="inlineStr">
        <is>
          <t>B</t>
        </is>
      </c>
      <c r="W23" s="59" t="inlineStr">
        <is>
          <t>B</t>
        </is>
      </c>
      <c r="X23" s="59" t="inlineStr">
        <is>
          <t>B</t>
        </is>
      </c>
      <c r="Y23" s="59" t="inlineStr">
        <is>
          <t>B</t>
        </is>
      </c>
      <c r="Z23" s="94" t="inlineStr">
        <is>
          <t>B</t>
        </is>
      </c>
      <c r="AA23" s="85">
        <f>IFERROR(VALUE(TRIM(LEFT($E23,SEARCH("x",$E23)-1))),"")</f>
        <v/>
      </c>
      <c r="AB23" s="73">
        <f>IFERROR(VALUE(TRIM(MID($E23,SEARCH("x",$E23)+1,10))),"")</f>
        <v/>
      </c>
      <c r="AC23" s="68">
        <f>IF(OR($AA23="",$AB23=""),"",IF($AA23&gt;$AB23,"A",IF($AA23&lt;$AB23,"B","E")))</f>
        <v/>
      </c>
      <c r="AD23" s="53" t="n"/>
    </row>
    <row r="24" ht="15.75" customHeight="1" thickBot="1">
      <c r="A24" s="178" t="n"/>
      <c r="B24" s="25" t="inlineStr">
        <is>
          <t>Inglaterra x Croácia</t>
        </is>
      </c>
      <c r="C24" s="37">
        <f>TRIM(LEFT(B24,FIND(" x ",B24)-1))</f>
        <v/>
      </c>
      <c r="D24" s="37">
        <f>TRIM(MID(B24,FIND(" x ",B24)+3,100))</f>
        <v/>
      </c>
      <c r="E24" s="43" t="inlineStr">
        <is>
          <t>4x2</t>
        </is>
      </c>
      <c r="F24" s="176" t="n"/>
      <c r="G24" s="83" t="inlineStr">
        <is>
          <t>A</t>
        </is>
      </c>
      <c r="H24" s="106" t="inlineStr">
        <is>
          <t>A</t>
        </is>
      </c>
      <c r="I24" s="106" t="inlineStr">
        <is>
          <t>A</t>
        </is>
      </c>
      <c r="J24" s="106" t="inlineStr">
        <is>
          <t>A</t>
        </is>
      </c>
      <c r="K24" s="106" t="inlineStr">
        <is>
          <t>A</t>
        </is>
      </c>
      <c r="L24" s="106" t="inlineStr">
        <is>
          <t>A</t>
        </is>
      </c>
      <c r="M24" s="106" t="inlineStr">
        <is>
          <t>A</t>
        </is>
      </c>
      <c r="N24" s="106" t="inlineStr">
        <is>
          <t>A</t>
        </is>
      </c>
      <c r="O24" s="78" t="inlineStr">
        <is>
          <t>E</t>
        </is>
      </c>
      <c r="P24" s="78" t="inlineStr">
        <is>
          <t>A</t>
        </is>
      </c>
      <c r="Q24" s="78" t="inlineStr">
        <is>
          <t>B</t>
        </is>
      </c>
      <c r="R24" s="78" t="inlineStr">
        <is>
          <t>A</t>
        </is>
      </c>
      <c r="S24" s="78" t="inlineStr">
        <is>
          <t>B</t>
        </is>
      </c>
      <c r="T24" s="78" t="inlineStr">
        <is>
          <t>E</t>
        </is>
      </c>
      <c r="U24" s="107" t="inlineStr">
        <is>
          <t>A</t>
        </is>
      </c>
      <c r="V24" s="107" t="inlineStr">
        <is>
          <t>A</t>
        </is>
      </c>
      <c r="W24" s="107" t="inlineStr">
        <is>
          <t>E</t>
        </is>
      </c>
      <c r="X24" s="107" t="inlineStr">
        <is>
          <t>A</t>
        </is>
      </c>
      <c r="Y24" s="107" t="inlineStr">
        <is>
          <t>E</t>
        </is>
      </c>
      <c r="Z24" s="78" t="inlineStr">
        <is>
          <t>B</t>
        </is>
      </c>
      <c r="AA24" s="85">
        <f>IFERROR(VALUE(TRIM(LEFT($E24,SEARCH("x",$E24)-1))),"")</f>
        <v/>
      </c>
      <c r="AB24" s="73">
        <f>IFERROR(VALUE(TRIM(MID($E24,SEARCH("x",$E24)+1,10))),"")</f>
        <v/>
      </c>
      <c r="AC24" s="68">
        <f>IF(OR($AA24="",$AB24=""),"",IF($AA24&gt;$AB24,"A",IF($AA24&lt;$AB24,"B","E")))</f>
        <v/>
      </c>
      <c r="AD24" s="53" t="n"/>
    </row>
    <row r="25" ht="15.75" customHeight="1" thickBot="1">
      <c r="A25" s="177" t="n"/>
      <c r="B25" s="26" t="inlineStr">
        <is>
          <t>Gana x Panamá</t>
        </is>
      </c>
      <c r="C25" s="38">
        <f>TRIM(LEFT(B25,FIND(" x ",B25)-1))</f>
        <v/>
      </c>
      <c r="D25" s="38">
        <f>TRIM(MID(B25,FIND(" x ",B25)+3,100))</f>
        <v/>
      </c>
      <c r="E25" s="43" t="inlineStr">
        <is>
          <t>1x0</t>
        </is>
      </c>
      <c r="F25" s="176" t="n"/>
      <c r="G25" s="108" t="inlineStr">
        <is>
          <t>A</t>
        </is>
      </c>
      <c r="H25" s="109" t="inlineStr">
        <is>
          <t>A</t>
        </is>
      </c>
      <c r="I25" s="109" t="inlineStr">
        <is>
          <t>A</t>
        </is>
      </c>
      <c r="J25" s="109" t="inlineStr">
        <is>
          <t>E</t>
        </is>
      </c>
      <c r="K25" s="109" t="inlineStr">
        <is>
          <t>A</t>
        </is>
      </c>
      <c r="L25" s="109" t="inlineStr">
        <is>
          <t>E</t>
        </is>
      </c>
      <c r="M25" s="109" t="inlineStr">
        <is>
          <t>A</t>
        </is>
      </c>
      <c r="N25" s="109" t="inlineStr">
        <is>
          <t>A</t>
        </is>
      </c>
      <c r="O25" s="109" t="inlineStr">
        <is>
          <t>A</t>
        </is>
      </c>
      <c r="P25" s="109" t="inlineStr">
        <is>
          <t>A</t>
        </is>
      </c>
      <c r="Q25" s="109" t="inlineStr">
        <is>
          <t>A</t>
        </is>
      </c>
      <c r="R25" s="109" t="inlineStr">
        <is>
          <t>A</t>
        </is>
      </c>
      <c r="S25" s="109" t="inlineStr">
        <is>
          <t>E</t>
        </is>
      </c>
      <c r="T25" s="109" t="inlineStr">
        <is>
          <t>A</t>
        </is>
      </c>
      <c r="U25" s="109" t="inlineStr">
        <is>
          <t>A</t>
        </is>
      </c>
      <c r="V25" s="109" t="inlineStr">
        <is>
          <t>A</t>
        </is>
      </c>
      <c r="W25" s="109" t="inlineStr">
        <is>
          <t>A</t>
        </is>
      </c>
      <c r="X25" s="109" t="inlineStr">
        <is>
          <t>A</t>
        </is>
      </c>
      <c r="Y25" s="109" t="inlineStr">
        <is>
          <t>A</t>
        </is>
      </c>
      <c r="Z25" s="109" t="inlineStr">
        <is>
          <t>A</t>
        </is>
      </c>
      <c r="AA25" s="85">
        <f>IFERROR(VALUE(TRIM(LEFT($E25,SEARCH("x",$E25)-1))),"")</f>
        <v/>
      </c>
      <c r="AB25" s="73">
        <f>IFERROR(VALUE(TRIM(MID($E25,SEARCH("x",$E25)+1,10))),"")</f>
        <v/>
      </c>
      <c r="AC25" s="68">
        <f>IF(OR($AA25="",$AB25=""),"",IF($AA25&gt;$AB25,"A",IF($AA25&lt;$AB25,"B","E")))</f>
        <v/>
      </c>
      <c r="AD25" s="53" t="n"/>
    </row>
    <row r="26" ht="15.75" customHeight="1" thickBot="1">
      <c r="A26" s="165" t="n">
        <v>46191</v>
      </c>
      <c r="B26" s="21" t="inlineStr">
        <is>
          <t>Tchéquia x África do Sul</t>
        </is>
      </c>
      <c r="C26" s="33">
        <f>TRIM(LEFT(B26,FIND(" x ",B26)-1))</f>
        <v/>
      </c>
      <c r="D26" s="33">
        <f>TRIM(MID(B26,FIND(" x ",B26)+3,100))</f>
        <v/>
      </c>
      <c r="E26" s="43" t="inlineStr">
        <is>
          <t>1x1</t>
        </is>
      </c>
      <c r="F26" s="176" t="n"/>
      <c r="G26" s="79" t="inlineStr">
        <is>
          <t>A</t>
        </is>
      </c>
      <c r="H26" s="65" t="inlineStr">
        <is>
          <t>A</t>
        </is>
      </c>
      <c r="I26" s="65" t="inlineStr">
        <is>
          <t>A</t>
        </is>
      </c>
      <c r="J26" s="65" t="inlineStr">
        <is>
          <t>A</t>
        </is>
      </c>
      <c r="K26" s="65" t="inlineStr">
        <is>
          <t>A</t>
        </is>
      </c>
      <c r="L26" s="65" t="inlineStr">
        <is>
          <t>A</t>
        </is>
      </c>
      <c r="M26" s="65" t="inlineStr">
        <is>
          <t>A</t>
        </is>
      </c>
      <c r="N26" s="65" t="inlineStr">
        <is>
          <t>A</t>
        </is>
      </c>
      <c r="O26" s="65" t="inlineStr">
        <is>
          <t>A</t>
        </is>
      </c>
      <c r="P26" s="65" t="inlineStr">
        <is>
          <t>A</t>
        </is>
      </c>
      <c r="Q26" s="65" t="inlineStr">
        <is>
          <t>A</t>
        </is>
      </c>
      <c r="R26" s="65" t="inlineStr">
        <is>
          <t>E</t>
        </is>
      </c>
      <c r="S26" s="65" t="inlineStr">
        <is>
          <t>E</t>
        </is>
      </c>
      <c r="T26" s="65" t="inlineStr">
        <is>
          <t>A</t>
        </is>
      </c>
      <c r="U26" s="55" t="inlineStr">
        <is>
          <t>A</t>
        </is>
      </c>
      <c r="V26" s="55" t="inlineStr">
        <is>
          <t>A</t>
        </is>
      </c>
      <c r="W26" s="55" t="inlineStr">
        <is>
          <t>B</t>
        </is>
      </c>
      <c r="X26" s="55" t="inlineStr">
        <is>
          <t>B</t>
        </is>
      </c>
      <c r="Y26" s="55" t="inlineStr">
        <is>
          <t>A</t>
        </is>
      </c>
      <c r="Z26" s="65" t="inlineStr">
        <is>
          <t>A</t>
        </is>
      </c>
      <c r="AA26" s="85">
        <f>IFERROR(VALUE(TRIM(LEFT($E26,SEARCH("x",$E26)-1))),"")</f>
        <v/>
      </c>
      <c r="AB26" s="73">
        <f>IFERROR(VALUE(TRIM(MID($E26,SEARCH("x",$E26)+1,10))),"")</f>
        <v/>
      </c>
      <c r="AC26" s="68">
        <f>IF(OR($AA26="",$AB26=""),"",IF($AA26&gt;$AB26,"A",IF($AA26&lt;$AB26,"B","E")))</f>
        <v/>
      </c>
      <c r="AD26" s="53" t="n"/>
    </row>
    <row r="27" ht="15.75" customHeight="1" thickBot="1">
      <c r="A27" s="178" t="n"/>
      <c r="B27" s="27" t="inlineStr">
        <is>
          <t>México x Coreia do Sul</t>
        </is>
      </c>
      <c r="C27" s="39">
        <f>TRIM(LEFT(B27,FIND(" x ",B27)-1))</f>
        <v/>
      </c>
      <c r="D27" s="39">
        <f>TRIM(MID(B27,FIND(" x ",B27)+3,100))</f>
        <v/>
      </c>
      <c r="E27" s="43" t="inlineStr">
        <is>
          <t>1x0</t>
        </is>
      </c>
      <c r="F27" s="176" t="n"/>
      <c r="G27" s="80" t="inlineStr">
        <is>
          <t>A</t>
        </is>
      </c>
      <c r="H27" s="60" t="inlineStr">
        <is>
          <t>A</t>
        </is>
      </c>
      <c r="I27" s="60" t="inlineStr">
        <is>
          <t>B</t>
        </is>
      </c>
      <c r="J27" s="60" t="inlineStr">
        <is>
          <t>A</t>
        </is>
      </c>
      <c r="K27" s="60" t="inlineStr">
        <is>
          <t>B</t>
        </is>
      </c>
      <c r="L27" s="60" t="inlineStr">
        <is>
          <t>B</t>
        </is>
      </c>
      <c r="M27" s="60" t="inlineStr">
        <is>
          <t>A</t>
        </is>
      </c>
      <c r="N27" s="60" t="inlineStr">
        <is>
          <t>A</t>
        </is>
      </c>
      <c r="O27" s="60" t="inlineStr">
        <is>
          <t>A</t>
        </is>
      </c>
      <c r="P27" s="60" t="inlineStr">
        <is>
          <t>B</t>
        </is>
      </c>
      <c r="Q27" s="60" t="inlineStr">
        <is>
          <t>A</t>
        </is>
      </c>
      <c r="R27" s="60" t="inlineStr">
        <is>
          <t>E</t>
        </is>
      </c>
      <c r="S27" s="60" t="inlineStr">
        <is>
          <t>E</t>
        </is>
      </c>
      <c r="T27" s="60" t="inlineStr">
        <is>
          <t>E</t>
        </is>
      </c>
      <c r="U27" s="61" t="inlineStr">
        <is>
          <t>A</t>
        </is>
      </c>
      <c r="V27" s="61" t="inlineStr">
        <is>
          <t>B</t>
        </is>
      </c>
      <c r="W27" s="61" t="inlineStr">
        <is>
          <t>B</t>
        </is>
      </c>
      <c r="X27" s="61" t="inlineStr">
        <is>
          <t>B</t>
        </is>
      </c>
      <c r="Y27" s="61" t="inlineStr">
        <is>
          <t>B</t>
        </is>
      </c>
      <c r="Z27" s="60" t="n"/>
      <c r="AA27" s="85">
        <f>IFERROR(VALUE(TRIM(LEFT($E27,SEARCH("x",$E27)-1))),"")</f>
        <v/>
      </c>
      <c r="AB27" s="73">
        <f>IFERROR(VALUE(TRIM(MID($E27,SEARCH("x",$E27)+1,10))),"")</f>
        <v/>
      </c>
      <c r="AC27" s="68">
        <f>IF(OR($AA27="",$AB27=""),"",IF($AA27&gt;$AB27,"A",IF($AA27&lt;$AB27,"B","E")))</f>
        <v/>
      </c>
      <c r="AD27" s="53" t="n"/>
    </row>
    <row r="28" ht="15.75" customHeight="1" thickBot="1">
      <c r="A28" s="178" t="n"/>
      <c r="B28" s="28" t="inlineStr">
        <is>
          <t>Suíça x Bósnia e Herzeg.</t>
        </is>
      </c>
      <c r="C28" s="40">
        <f>TRIM(LEFT(B28,FIND(" x ",B28)-1))</f>
        <v/>
      </c>
      <c r="D28" s="40">
        <f>TRIM(MID(B28,FIND(" x ",B28)+3,100))</f>
        <v/>
      </c>
      <c r="E28" s="43" t="inlineStr">
        <is>
          <t>4x1</t>
        </is>
      </c>
      <c r="F28" s="176" t="n"/>
      <c r="G28" s="81" t="inlineStr">
        <is>
          <t>A</t>
        </is>
      </c>
      <c r="H28" s="63" t="inlineStr">
        <is>
          <t>A</t>
        </is>
      </c>
      <c r="I28" s="63" t="inlineStr">
        <is>
          <t>E</t>
        </is>
      </c>
      <c r="J28" s="63" t="inlineStr">
        <is>
          <t>A</t>
        </is>
      </c>
      <c r="K28" s="63" t="inlineStr">
        <is>
          <t>A</t>
        </is>
      </c>
      <c r="L28" s="63" t="inlineStr">
        <is>
          <t>A</t>
        </is>
      </c>
      <c r="M28" s="63" t="inlineStr">
        <is>
          <t>A</t>
        </is>
      </c>
      <c r="N28" s="63" t="inlineStr">
        <is>
          <t>A</t>
        </is>
      </c>
      <c r="O28" s="63" t="inlineStr">
        <is>
          <t>A</t>
        </is>
      </c>
      <c r="P28" s="63" t="inlineStr">
        <is>
          <t>A</t>
        </is>
      </c>
      <c r="Q28" s="63" t="inlineStr">
        <is>
          <t>A</t>
        </is>
      </c>
      <c r="R28" s="63" t="inlineStr">
        <is>
          <t>E</t>
        </is>
      </c>
      <c r="S28" s="63" t="inlineStr">
        <is>
          <t>A</t>
        </is>
      </c>
      <c r="T28" s="63" t="inlineStr">
        <is>
          <t>E</t>
        </is>
      </c>
      <c r="U28" s="64" t="inlineStr">
        <is>
          <t>A</t>
        </is>
      </c>
      <c r="V28" s="64" t="inlineStr">
        <is>
          <t>A</t>
        </is>
      </c>
      <c r="W28" s="64" t="inlineStr">
        <is>
          <t>A</t>
        </is>
      </c>
      <c r="X28" s="64" t="inlineStr">
        <is>
          <t>A</t>
        </is>
      </c>
      <c r="Y28" s="64" t="inlineStr">
        <is>
          <t>A</t>
        </is>
      </c>
      <c r="Z28" s="63" t="n"/>
      <c r="AA28" s="85">
        <f>IFERROR(VALUE(TRIM(LEFT($E28,SEARCH("x",$E28)-1))),"")</f>
        <v/>
      </c>
      <c r="AB28" s="73">
        <f>IFERROR(VALUE(TRIM(MID($E28,SEARCH("x",$E28)+1,10))),"")</f>
        <v/>
      </c>
      <c r="AC28" s="68">
        <f>IF(OR($AA28="",$AB28=""),"",IF($AA28&gt;$AB28,"A",IF($AA28&lt;$AB28,"B","E")))</f>
        <v/>
      </c>
      <c r="AD28" s="53" t="n"/>
    </row>
    <row r="29" ht="15.75" customHeight="1" thickBot="1">
      <c r="A29" s="177" t="n"/>
      <c r="B29" s="29" t="inlineStr">
        <is>
          <t>Canadá x Catar</t>
        </is>
      </c>
      <c r="C29" s="41">
        <f>TRIM(LEFT(B29,FIND(" x ",B29)-1))</f>
        <v/>
      </c>
      <c r="D29" s="41">
        <f>TRIM(MID(B29,FIND(" x ",B29)+3,100))</f>
        <v/>
      </c>
      <c r="E29" s="43" t="inlineStr">
        <is>
          <t>6x0</t>
        </is>
      </c>
      <c r="F29" s="176" t="n"/>
      <c r="G29" s="95" t="inlineStr">
        <is>
          <t>A</t>
        </is>
      </c>
      <c r="H29" s="96" t="inlineStr">
        <is>
          <t>A</t>
        </is>
      </c>
      <c r="I29" s="96" t="inlineStr">
        <is>
          <t>A</t>
        </is>
      </c>
      <c r="J29" s="96" t="inlineStr">
        <is>
          <t>A</t>
        </is>
      </c>
      <c r="K29" s="96" t="inlineStr">
        <is>
          <t>A</t>
        </is>
      </c>
      <c r="L29" s="96" t="inlineStr">
        <is>
          <t>A</t>
        </is>
      </c>
      <c r="M29" s="96" t="inlineStr">
        <is>
          <t>A</t>
        </is>
      </c>
      <c r="N29" s="96" t="inlineStr">
        <is>
          <t>A</t>
        </is>
      </c>
      <c r="O29" s="96" t="inlineStr">
        <is>
          <t>A</t>
        </is>
      </c>
      <c r="P29" s="96" t="inlineStr">
        <is>
          <t>A</t>
        </is>
      </c>
      <c r="Q29" s="96" t="inlineStr">
        <is>
          <t>A</t>
        </is>
      </c>
      <c r="R29" s="96" t="inlineStr">
        <is>
          <t>A</t>
        </is>
      </c>
      <c r="S29" s="96" t="inlineStr">
        <is>
          <t>E</t>
        </is>
      </c>
      <c r="T29" s="96" t="inlineStr">
        <is>
          <t>A</t>
        </is>
      </c>
      <c r="U29" s="97" t="inlineStr">
        <is>
          <t>A</t>
        </is>
      </c>
      <c r="V29" s="97" t="inlineStr">
        <is>
          <t>A</t>
        </is>
      </c>
      <c r="W29" s="97" t="inlineStr">
        <is>
          <t>B</t>
        </is>
      </c>
      <c r="X29" s="97" t="inlineStr">
        <is>
          <t>B</t>
        </is>
      </c>
      <c r="Y29" s="97" t="inlineStr">
        <is>
          <t>A</t>
        </is>
      </c>
      <c r="Z29" s="96" t="n"/>
      <c r="AA29" s="85">
        <f>IFERROR(VALUE(TRIM(LEFT($E29,SEARCH("x",$E29)-1))),"")</f>
        <v/>
      </c>
      <c r="AB29" s="73">
        <f>IFERROR(VALUE(TRIM(MID($E29,SEARCH("x",$E29)+1,10))),"")</f>
        <v/>
      </c>
      <c r="AC29" s="68">
        <f>IF(OR($AA29="",$AB29=""),"",IF($AA29&gt;$AB29,"A",IF($AA29&lt;$AB29,"B","E")))</f>
        <v/>
      </c>
      <c r="AD29" s="53" t="n"/>
    </row>
    <row r="30" ht="15.75" customHeight="1" thickBot="1">
      <c r="A30" s="161" t="n">
        <v>46192</v>
      </c>
      <c r="B30" s="23" t="inlineStr">
        <is>
          <t>Escócia x Marrocos</t>
        </is>
      </c>
      <c r="C30" s="35">
        <f>TRIM(LEFT(B30,FIND(" x ",B30)-1))</f>
        <v/>
      </c>
      <c r="D30" s="35">
        <f>TRIM(MID(B30,FIND(" x ",B30)+3,100))</f>
        <v/>
      </c>
      <c r="E30" s="43" t="inlineStr">
        <is>
          <t>0x1</t>
        </is>
      </c>
      <c r="F30" s="176" t="n"/>
      <c r="G30" s="79" t="inlineStr">
        <is>
          <t>B</t>
        </is>
      </c>
      <c r="H30" s="65" t="inlineStr">
        <is>
          <t>B</t>
        </is>
      </c>
      <c r="I30" s="65" t="inlineStr">
        <is>
          <t>B</t>
        </is>
      </c>
      <c r="J30" s="65" t="inlineStr">
        <is>
          <t>B</t>
        </is>
      </c>
      <c r="K30" s="65" t="inlineStr">
        <is>
          <t>B</t>
        </is>
      </c>
      <c r="L30" s="65" t="inlineStr">
        <is>
          <t>B</t>
        </is>
      </c>
      <c r="M30" s="65" t="inlineStr">
        <is>
          <t>B</t>
        </is>
      </c>
      <c r="N30" s="65" t="inlineStr">
        <is>
          <t>B</t>
        </is>
      </c>
      <c r="O30" s="65" t="inlineStr">
        <is>
          <t>B</t>
        </is>
      </c>
      <c r="P30" s="65" t="inlineStr">
        <is>
          <t>B</t>
        </is>
      </c>
      <c r="Q30" s="65" t="inlineStr">
        <is>
          <t>B</t>
        </is>
      </c>
      <c r="R30" s="65" t="inlineStr">
        <is>
          <t>B</t>
        </is>
      </c>
      <c r="S30" s="65" t="n"/>
      <c r="T30" s="65" t="inlineStr">
        <is>
          <t>E</t>
        </is>
      </c>
      <c r="U30" s="55" t="inlineStr">
        <is>
          <t>B</t>
        </is>
      </c>
      <c r="V30" s="55" t="inlineStr">
        <is>
          <t>B</t>
        </is>
      </c>
      <c r="W30" s="55" t="inlineStr">
        <is>
          <t>B</t>
        </is>
      </c>
      <c r="X30" s="55" t="inlineStr">
        <is>
          <t>B</t>
        </is>
      </c>
      <c r="Y30" s="55" t="inlineStr">
        <is>
          <t>B</t>
        </is>
      </c>
      <c r="Z30" s="65" t="inlineStr">
        <is>
          <t>B</t>
        </is>
      </c>
      <c r="AA30" s="85">
        <f>IFERROR(VALUE(TRIM(LEFT($E30,SEARCH("x",$E30)-1))),"")</f>
        <v/>
      </c>
      <c r="AB30" s="73">
        <f>IFERROR(VALUE(TRIM(MID($E30,SEARCH("x",$E30)+1,10))),"")</f>
        <v/>
      </c>
      <c r="AC30" s="68">
        <f>IF(OR($AA30="",$AB30=""),"",IF($AA30&gt;$AB30,"A",IF($AA30&lt;$AB30,"B","E")))</f>
        <v/>
      </c>
      <c r="AD30" s="53" t="n"/>
    </row>
    <row r="31" ht="15.75" customHeight="1" thickBot="1">
      <c r="A31" s="178" t="n"/>
      <c r="B31" s="24" t="inlineStr">
        <is>
          <t>Brasil x Haiti</t>
        </is>
      </c>
      <c r="C31" s="36">
        <f>TRIM(LEFT(B31,FIND(" x ",B31)-1))</f>
        <v/>
      </c>
      <c r="D31" s="36">
        <f>TRIM(MID(B31,FIND(" x ",B31)+3,100))</f>
        <v/>
      </c>
      <c r="E31" s="46" t="inlineStr">
        <is>
          <t>3x0</t>
        </is>
      </c>
      <c r="F31" s="176" t="n"/>
      <c r="G31" s="80" t="inlineStr">
        <is>
          <t>A</t>
        </is>
      </c>
      <c r="H31" s="60" t="inlineStr">
        <is>
          <t>A</t>
        </is>
      </c>
      <c r="I31" s="60" t="inlineStr">
        <is>
          <t>A</t>
        </is>
      </c>
      <c r="J31" s="60" t="inlineStr">
        <is>
          <t>A</t>
        </is>
      </c>
      <c r="K31" s="60" t="inlineStr">
        <is>
          <t>A</t>
        </is>
      </c>
      <c r="L31" s="60" t="inlineStr">
        <is>
          <t>A</t>
        </is>
      </c>
      <c r="M31" s="60" t="inlineStr">
        <is>
          <t>A</t>
        </is>
      </c>
      <c r="N31" s="60" t="inlineStr">
        <is>
          <t>A</t>
        </is>
      </c>
      <c r="O31" s="60" t="inlineStr">
        <is>
          <t>A</t>
        </is>
      </c>
      <c r="P31" s="60" t="inlineStr">
        <is>
          <t>A</t>
        </is>
      </c>
      <c r="Q31" s="60" t="inlineStr">
        <is>
          <t>A</t>
        </is>
      </c>
      <c r="R31" s="60" t="inlineStr">
        <is>
          <t>A</t>
        </is>
      </c>
      <c r="S31" s="60" t="inlineStr">
        <is>
          <t>A</t>
        </is>
      </c>
      <c r="T31" s="60" t="inlineStr">
        <is>
          <t>A</t>
        </is>
      </c>
      <c r="U31" s="61" t="inlineStr">
        <is>
          <t>A</t>
        </is>
      </c>
      <c r="V31" s="61" t="inlineStr">
        <is>
          <t>A</t>
        </is>
      </c>
      <c r="W31" s="61" t="inlineStr">
        <is>
          <t>A</t>
        </is>
      </c>
      <c r="X31" s="61" t="inlineStr">
        <is>
          <t>A</t>
        </is>
      </c>
      <c r="Y31" s="61" t="inlineStr">
        <is>
          <t>A</t>
        </is>
      </c>
      <c r="Z31" s="60" t="inlineStr">
        <is>
          <t>A</t>
        </is>
      </c>
      <c r="AA31" s="85">
        <f>IFERROR(VALUE(TRIM(LEFT($E31,SEARCH("x",$E31)-1))),"")</f>
        <v/>
      </c>
      <c r="AB31" s="73">
        <f>IFERROR(VALUE(TRIM(MID($E31,SEARCH("x",$E31)+1,10))),"")</f>
        <v/>
      </c>
      <c r="AC31" s="68">
        <f>IF(OR($AA31="",$AB31=""),"",IF($AA31&gt;$AB31,"A",IF($AA31&lt;$AB31,"B","E")))</f>
        <v/>
      </c>
      <c r="AD31" s="53" t="n"/>
    </row>
    <row r="32" ht="15.75" customHeight="1" thickBot="1">
      <c r="A32" s="178" t="n"/>
      <c r="B32" s="25" t="inlineStr">
        <is>
          <t>Estados Unidos x Austrália</t>
        </is>
      </c>
      <c r="C32" s="37">
        <f>TRIM(LEFT(B32,FIND(" x ",B32)-1))</f>
        <v/>
      </c>
      <c r="D32" s="37">
        <f>TRIM(MID(B32,FIND(" x ",B32)+3,100))</f>
        <v/>
      </c>
      <c r="E32" s="47" t="inlineStr">
        <is>
          <t>2x0</t>
        </is>
      </c>
      <c r="F32" s="176" t="n"/>
      <c r="G32" s="81" t="inlineStr">
        <is>
          <t>A</t>
        </is>
      </c>
      <c r="H32" s="63" t="inlineStr">
        <is>
          <t>A</t>
        </is>
      </c>
      <c r="I32" s="63" t="inlineStr">
        <is>
          <t>A</t>
        </is>
      </c>
      <c r="J32" s="63" t="inlineStr">
        <is>
          <t>A</t>
        </is>
      </c>
      <c r="K32" s="63" t="inlineStr">
        <is>
          <t>E</t>
        </is>
      </c>
      <c r="L32" s="63" t="inlineStr">
        <is>
          <t>A</t>
        </is>
      </c>
      <c r="M32" s="63" t="inlineStr">
        <is>
          <t>A</t>
        </is>
      </c>
      <c r="N32" s="63" t="inlineStr">
        <is>
          <t>A</t>
        </is>
      </c>
      <c r="O32" s="63" t="inlineStr">
        <is>
          <t>A</t>
        </is>
      </c>
      <c r="P32" s="63" t="inlineStr">
        <is>
          <t>A</t>
        </is>
      </c>
      <c r="Q32" s="63" t="inlineStr">
        <is>
          <t>A</t>
        </is>
      </c>
      <c r="R32" s="63" t="inlineStr">
        <is>
          <t>A</t>
        </is>
      </c>
      <c r="S32" s="63" t="n"/>
      <c r="T32" s="63" t="inlineStr">
        <is>
          <t>E</t>
        </is>
      </c>
      <c r="U32" s="64" t="inlineStr">
        <is>
          <t>A</t>
        </is>
      </c>
      <c r="V32" s="64" t="inlineStr">
        <is>
          <t>A</t>
        </is>
      </c>
      <c r="W32" s="64" t="inlineStr">
        <is>
          <t>A</t>
        </is>
      </c>
      <c r="X32" s="64" t="inlineStr">
        <is>
          <t>A</t>
        </is>
      </c>
      <c r="Y32" s="64" t="inlineStr">
        <is>
          <t>A</t>
        </is>
      </c>
      <c r="Z32" s="63" t="inlineStr">
        <is>
          <t>A</t>
        </is>
      </c>
      <c r="AA32" s="85">
        <f>IFERROR(VALUE(TRIM(LEFT($E32,SEARCH("x",$E32)-1))),"")</f>
        <v/>
      </c>
      <c r="AB32" s="73">
        <f>IFERROR(VALUE(TRIM(MID($E32,SEARCH("x",$E32)+1,10))),"")</f>
        <v/>
      </c>
      <c r="AC32" s="68">
        <f>IF(OR($AA32="",$AB32=""),"",IF($AA32&gt;$AB32,"A",IF($AA32&lt;$AB32,"B","E")))</f>
        <v/>
      </c>
      <c r="AD32" s="53" t="n"/>
    </row>
    <row r="33" ht="15.75" customHeight="1" thickBot="1">
      <c r="A33" s="177" t="n"/>
      <c r="B33" s="26" t="inlineStr">
        <is>
          <t>Turquia x Paraguai</t>
        </is>
      </c>
      <c r="C33" s="38">
        <f>TRIM(LEFT(B33,FIND(" x ",B33)-1))</f>
        <v/>
      </c>
      <c r="D33" s="38">
        <f>TRIM(MID(B33,FIND(" x ",B33)+3,100))</f>
        <v/>
      </c>
      <c r="E33" s="48" t="inlineStr">
        <is>
          <t>0x1</t>
        </is>
      </c>
      <c r="F33" s="176" t="n"/>
      <c r="G33" s="95" t="inlineStr">
        <is>
          <t>A</t>
        </is>
      </c>
      <c r="H33" s="96" t="inlineStr">
        <is>
          <t>B</t>
        </is>
      </c>
      <c r="I33" s="96" t="inlineStr">
        <is>
          <t>A</t>
        </is>
      </c>
      <c r="J33" s="96" t="inlineStr">
        <is>
          <t>A</t>
        </is>
      </c>
      <c r="K33" s="96" t="inlineStr">
        <is>
          <t>A</t>
        </is>
      </c>
      <c r="L33" s="96" t="inlineStr">
        <is>
          <t>E</t>
        </is>
      </c>
      <c r="M33" s="96" t="inlineStr">
        <is>
          <t>A</t>
        </is>
      </c>
      <c r="N33" s="96" t="inlineStr">
        <is>
          <t>A</t>
        </is>
      </c>
      <c r="O33" s="96" t="inlineStr">
        <is>
          <t>E</t>
        </is>
      </c>
      <c r="P33" s="96" t="inlineStr">
        <is>
          <t>A</t>
        </is>
      </c>
      <c r="Q33" s="96" t="inlineStr">
        <is>
          <t>E</t>
        </is>
      </c>
      <c r="R33" s="96" t="inlineStr">
        <is>
          <t>A</t>
        </is>
      </c>
      <c r="S33" s="96" t="inlineStr">
        <is>
          <t>E</t>
        </is>
      </c>
      <c r="T33" s="96" t="inlineStr">
        <is>
          <t>A</t>
        </is>
      </c>
      <c r="U33" s="97" t="inlineStr">
        <is>
          <t>A</t>
        </is>
      </c>
      <c r="V33" s="97" t="inlineStr">
        <is>
          <t>A</t>
        </is>
      </c>
      <c r="W33" s="97" t="inlineStr">
        <is>
          <t>B</t>
        </is>
      </c>
      <c r="X33" s="97" t="inlineStr">
        <is>
          <t>B</t>
        </is>
      </c>
      <c r="Y33" s="97" t="inlineStr">
        <is>
          <t>A</t>
        </is>
      </c>
      <c r="Z33" s="96" t="inlineStr">
        <is>
          <t>B</t>
        </is>
      </c>
      <c r="AA33" s="85">
        <f>IFERROR(VALUE(TRIM(LEFT($E33,SEARCH("x",$E33)-1))),"")</f>
        <v/>
      </c>
      <c r="AB33" s="73">
        <f>IFERROR(VALUE(TRIM(MID($E33,SEARCH("x",$E33)+1,10))),"")</f>
        <v/>
      </c>
      <c r="AC33" s="68">
        <f>IF(OR($AA33="",$AB33=""),"",IF($AA33&gt;$AB33,"A",IF($AA33&lt;$AB33,"B","E")))</f>
        <v/>
      </c>
      <c r="AD33" s="53" t="n"/>
    </row>
    <row r="34" ht="15.75" customHeight="1" thickBot="1">
      <c r="A34" s="165" t="n">
        <v>46193</v>
      </c>
      <c r="B34" s="21" t="inlineStr">
        <is>
          <t>Alemanha x Costa do Marfim</t>
        </is>
      </c>
      <c r="C34" s="33">
        <f>TRIM(LEFT(B34,FIND(" x ",B34)-1))</f>
        <v/>
      </c>
      <c r="D34" s="33">
        <f>TRIM(MID(B34,FIND(" x ",B34)+3,100))</f>
        <v/>
      </c>
      <c r="E34" s="45" t="inlineStr">
        <is>
          <t>2x1</t>
        </is>
      </c>
      <c r="F34" s="176" t="n"/>
      <c r="G34" s="79" t="inlineStr">
        <is>
          <t>A</t>
        </is>
      </c>
      <c r="H34" s="65" t="inlineStr">
        <is>
          <t>A</t>
        </is>
      </c>
      <c r="I34" s="65" t="inlineStr">
        <is>
          <t>A</t>
        </is>
      </c>
      <c r="J34" s="65" t="inlineStr">
        <is>
          <t>A</t>
        </is>
      </c>
      <c r="K34" s="65" t="inlineStr">
        <is>
          <t>A</t>
        </is>
      </c>
      <c r="L34" s="65" t="inlineStr">
        <is>
          <t>A</t>
        </is>
      </c>
      <c r="M34" s="65" t="inlineStr">
        <is>
          <t>A</t>
        </is>
      </c>
      <c r="N34" s="65" t="inlineStr">
        <is>
          <t>A</t>
        </is>
      </c>
      <c r="O34" s="65" t="inlineStr">
        <is>
          <t>A</t>
        </is>
      </c>
      <c r="P34" s="65" t="inlineStr">
        <is>
          <t>A</t>
        </is>
      </c>
      <c r="Q34" s="65" t="inlineStr">
        <is>
          <t>A</t>
        </is>
      </c>
      <c r="R34" s="65" t="inlineStr">
        <is>
          <t>A</t>
        </is>
      </c>
      <c r="S34" s="65" t="inlineStr">
        <is>
          <t>A</t>
        </is>
      </c>
      <c r="T34" s="65" t="inlineStr">
        <is>
          <t>A</t>
        </is>
      </c>
      <c r="U34" s="55" t="inlineStr">
        <is>
          <t>A</t>
        </is>
      </c>
      <c r="V34" s="55" t="inlineStr">
        <is>
          <t>E</t>
        </is>
      </c>
      <c r="W34" s="55" t="inlineStr">
        <is>
          <t>A</t>
        </is>
      </c>
      <c r="X34" s="55" t="inlineStr">
        <is>
          <t>A</t>
        </is>
      </c>
      <c r="Y34" s="55" t="inlineStr">
        <is>
          <t>A</t>
        </is>
      </c>
      <c r="Z34" s="65" t="inlineStr">
        <is>
          <t>E</t>
        </is>
      </c>
      <c r="AA34" s="85">
        <f>IFERROR(VALUE(TRIM(LEFT($E34,SEARCH("x",$E34)-1))),"")</f>
        <v/>
      </c>
      <c r="AB34" s="73">
        <f>IFERROR(VALUE(TRIM(MID($E34,SEARCH("x",$E34)+1,10))),"")</f>
        <v/>
      </c>
      <c r="AC34" s="68">
        <f>IF(OR($AA34="",$AB34=""),"",IF($AA34&gt;$AB34,"A",IF($AA34&lt;$AB34,"B","E")))</f>
        <v/>
      </c>
      <c r="AD34" s="53" t="n"/>
    </row>
    <row r="35" ht="15.75" customHeight="1" thickBot="1">
      <c r="A35" s="178" t="n"/>
      <c r="B35" s="27" t="inlineStr">
        <is>
          <t>Equador x Curaçao</t>
        </is>
      </c>
      <c r="C35" s="39">
        <f>TRIM(LEFT(B35,FIND(" x ",B35)-1))</f>
        <v/>
      </c>
      <c r="D35" s="39">
        <f>TRIM(MID(B35,FIND(" x ",B35)+3,100))</f>
        <v/>
      </c>
      <c r="E35" s="49" t="inlineStr">
        <is>
          <t>0x0</t>
        </is>
      </c>
      <c r="F35" s="176" t="n"/>
      <c r="G35" s="80" t="inlineStr">
        <is>
          <t>A</t>
        </is>
      </c>
      <c r="H35" s="60" t="inlineStr">
        <is>
          <t>A</t>
        </is>
      </c>
      <c r="I35" s="60" t="inlineStr">
        <is>
          <t>A</t>
        </is>
      </c>
      <c r="J35" s="60" t="inlineStr">
        <is>
          <t>A</t>
        </is>
      </c>
      <c r="K35" s="60" t="inlineStr">
        <is>
          <t>A</t>
        </is>
      </c>
      <c r="L35" s="60" t="inlineStr">
        <is>
          <t>A</t>
        </is>
      </c>
      <c r="M35" s="60" t="inlineStr">
        <is>
          <t>A</t>
        </is>
      </c>
      <c r="N35" s="60" t="inlineStr">
        <is>
          <t>A</t>
        </is>
      </c>
      <c r="O35" s="60" t="inlineStr">
        <is>
          <t>A</t>
        </is>
      </c>
      <c r="P35" s="60" t="inlineStr">
        <is>
          <t>A</t>
        </is>
      </c>
      <c r="Q35" s="60" t="inlineStr">
        <is>
          <t>A</t>
        </is>
      </c>
      <c r="R35" s="60" t="inlineStr">
        <is>
          <t>A</t>
        </is>
      </c>
      <c r="S35" s="60" t="inlineStr">
        <is>
          <t>A</t>
        </is>
      </c>
      <c r="T35" s="60" t="inlineStr">
        <is>
          <t>A</t>
        </is>
      </c>
      <c r="U35" s="61" t="inlineStr">
        <is>
          <t>A</t>
        </is>
      </c>
      <c r="V35" s="61" t="inlineStr">
        <is>
          <t>A</t>
        </is>
      </c>
      <c r="W35" s="61" t="inlineStr">
        <is>
          <t>A</t>
        </is>
      </c>
      <c r="X35" s="61" t="inlineStr">
        <is>
          <t>A</t>
        </is>
      </c>
      <c r="Y35" s="61" t="inlineStr">
        <is>
          <t>A</t>
        </is>
      </c>
      <c r="Z35" s="60" t="inlineStr">
        <is>
          <t>E</t>
        </is>
      </c>
      <c r="AA35" s="85">
        <f>IFERROR(VALUE(TRIM(LEFT($E35,SEARCH("x",$E35)-1))),"")</f>
        <v/>
      </c>
      <c r="AB35" s="73">
        <f>IFERROR(VALUE(TRIM(MID($E35,SEARCH("x",$E35)+1,10))),"")</f>
        <v/>
      </c>
      <c r="AC35" s="68">
        <f>IF(OR($AA35="",$AB35=""),"",IF($AA35&gt;$AB35,"A",IF($AA35&lt;$AB35,"B","E")))</f>
        <v/>
      </c>
      <c r="AD35" s="53" t="n"/>
    </row>
    <row r="36" ht="15.75" customHeight="1" thickBot="1">
      <c r="A36" s="178" t="n"/>
      <c r="B36" s="28" t="inlineStr">
        <is>
          <t>Países Baixos x Suécia</t>
        </is>
      </c>
      <c r="C36" s="40">
        <f>TRIM(LEFT(B36,FIND(" x ",B36)-1))</f>
        <v/>
      </c>
      <c r="D36" s="40">
        <f>TRIM(MID(B36,FIND(" x ",B36)+3,100))</f>
        <v/>
      </c>
      <c r="E36" s="50" t="inlineStr">
        <is>
          <t>5x1</t>
        </is>
      </c>
      <c r="F36" s="176" t="n"/>
      <c r="G36" s="81" t="inlineStr">
        <is>
          <t>A</t>
        </is>
      </c>
      <c r="H36" s="63" t="inlineStr">
        <is>
          <t>E</t>
        </is>
      </c>
      <c r="I36" s="63" t="inlineStr">
        <is>
          <t>B</t>
        </is>
      </c>
      <c r="J36" s="63" t="inlineStr">
        <is>
          <t>B</t>
        </is>
      </c>
      <c r="K36" s="63" t="inlineStr">
        <is>
          <t>A</t>
        </is>
      </c>
      <c r="L36" s="63" t="inlineStr">
        <is>
          <t>A</t>
        </is>
      </c>
      <c r="M36" s="63" t="inlineStr">
        <is>
          <t>A</t>
        </is>
      </c>
      <c r="N36" s="63" t="inlineStr">
        <is>
          <t>A</t>
        </is>
      </c>
      <c r="O36" s="63" t="inlineStr">
        <is>
          <t>A</t>
        </is>
      </c>
      <c r="P36" s="63" t="inlineStr">
        <is>
          <t>E</t>
        </is>
      </c>
      <c r="Q36" s="63" t="inlineStr">
        <is>
          <t>A</t>
        </is>
      </c>
      <c r="R36" s="63" t="inlineStr">
        <is>
          <t>A</t>
        </is>
      </c>
      <c r="S36" s="63" t="inlineStr">
        <is>
          <t>A</t>
        </is>
      </c>
      <c r="T36" s="63" t="inlineStr">
        <is>
          <t>A</t>
        </is>
      </c>
      <c r="U36" s="64" t="inlineStr">
        <is>
          <t>E</t>
        </is>
      </c>
      <c r="V36" s="64" t="inlineStr">
        <is>
          <t>A</t>
        </is>
      </c>
      <c r="W36" s="64" t="inlineStr">
        <is>
          <t>A</t>
        </is>
      </c>
      <c r="X36" s="64" t="inlineStr">
        <is>
          <t>A</t>
        </is>
      </c>
      <c r="Y36" s="64" t="inlineStr">
        <is>
          <t>A</t>
        </is>
      </c>
      <c r="Z36" s="63" t="inlineStr">
        <is>
          <t>E</t>
        </is>
      </c>
      <c r="AA36" s="85">
        <f>IFERROR(VALUE(TRIM(LEFT($E36,SEARCH("x",$E36)-1))),"")</f>
        <v/>
      </c>
      <c r="AB36" s="73">
        <f>IFERROR(VALUE(TRIM(MID($E36,SEARCH("x",$E36)+1,10))),"")</f>
        <v/>
      </c>
      <c r="AC36" s="68">
        <f>IF(OR($AA36="",$AB36=""),"",IF($AA36&gt;$AB36,"A",IF($AA36&lt;$AB36,"B","E")))</f>
        <v/>
      </c>
      <c r="AD36" s="53" t="n"/>
    </row>
    <row r="37" ht="15.75" customHeight="1" thickBot="1">
      <c r="A37" s="177" t="n"/>
      <c r="B37" s="29" t="inlineStr">
        <is>
          <t>Tunísia x Japão</t>
        </is>
      </c>
      <c r="C37" s="41">
        <f>TRIM(LEFT(B37,FIND(" x ",B37)-1))</f>
        <v/>
      </c>
      <c r="D37" s="41">
        <f>TRIM(MID(B37,FIND(" x ",B37)+3,100))</f>
        <v/>
      </c>
      <c r="E37" s="51" t="inlineStr">
        <is>
          <t>0x4</t>
        </is>
      </c>
      <c r="F37" s="176" t="n"/>
      <c r="G37" s="95" t="inlineStr">
        <is>
          <t>B</t>
        </is>
      </c>
      <c r="H37" s="96" t="inlineStr">
        <is>
          <t>B</t>
        </is>
      </c>
      <c r="I37" s="96" t="inlineStr">
        <is>
          <t>B</t>
        </is>
      </c>
      <c r="J37" s="96" t="inlineStr">
        <is>
          <t>B</t>
        </is>
      </c>
      <c r="K37" s="96" t="inlineStr">
        <is>
          <t>B</t>
        </is>
      </c>
      <c r="L37" s="96" t="inlineStr">
        <is>
          <t>B</t>
        </is>
      </c>
      <c r="M37" s="96" t="inlineStr">
        <is>
          <t>B</t>
        </is>
      </c>
      <c r="N37" s="96" t="inlineStr">
        <is>
          <t>B</t>
        </is>
      </c>
      <c r="O37" s="96" t="inlineStr">
        <is>
          <t>B</t>
        </is>
      </c>
      <c r="P37" s="96" t="inlineStr">
        <is>
          <t>B</t>
        </is>
      </c>
      <c r="Q37" s="96" t="inlineStr">
        <is>
          <t>E</t>
        </is>
      </c>
      <c r="R37" s="96" t="inlineStr">
        <is>
          <t>B</t>
        </is>
      </c>
      <c r="S37" s="96" t="inlineStr">
        <is>
          <t>B</t>
        </is>
      </c>
      <c r="T37" s="96" t="inlineStr">
        <is>
          <t>B</t>
        </is>
      </c>
      <c r="U37" s="97" t="inlineStr">
        <is>
          <t>B</t>
        </is>
      </c>
      <c r="V37" s="97" t="inlineStr">
        <is>
          <t>B</t>
        </is>
      </c>
      <c r="W37" s="97" t="inlineStr">
        <is>
          <t>B</t>
        </is>
      </c>
      <c r="X37" s="97" t="inlineStr">
        <is>
          <t>B</t>
        </is>
      </c>
      <c r="Y37" s="97" t="inlineStr">
        <is>
          <t>B</t>
        </is>
      </c>
      <c r="Z37" s="96" t="inlineStr">
        <is>
          <t>B</t>
        </is>
      </c>
      <c r="AA37" s="85">
        <f>IFERROR(VALUE(TRIM(LEFT($E37,SEARCH("x",$E37)-1))),"")</f>
        <v/>
      </c>
      <c r="AB37" s="73">
        <f>IFERROR(VALUE(TRIM(MID($E37,SEARCH("x",$E37)+1,10))),"")</f>
        <v/>
      </c>
      <c r="AC37" s="68">
        <f>IF(OR($AA37="",$AB37=""),"",IF($AA37&gt;$AB37,"A",IF($AA37&lt;$AB37,"B","E")))</f>
        <v/>
      </c>
      <c r="AD37" s="53" t="n"/>
    </row>
    <row r="38" ht="15.75" customHeight="1" thickBot="1">
      <c r="A38" s="161" t="n">
        <v>46194</v>
      </c>
      <c r="B38" s="23" t="inlineStr">
        <is>
          <t>Bélgica x Irã</t>
        </is>
      </c>
      <c r="C38" s="35">
        <f>TRIM(LEFT(B38,FIND(" x ",B38)-1))</f>
        <v/>
      </c>
      <c r="D38" s="35">
        <f>TRIM(MID(B38,FIND(" x ",B38)+3,100))</f>
        <v/>
      </c>
      <c r="E38" s="43" t="inlineStr">
        <is>
          <t>0x0</t>
        </is>
      </c>
      <c r="F38" s="176" t="n"/>
      <c r="G38" s="79" t="inlineStr">
        <is>
          <t>A</t>
        </is>
      </c>
      <c r="H38" s="65" t="inlineStr">
        <is>
          <t>A</t>
        </is>
      </c>
      <c r="I38" s="65" t="inlineStr">
        <is>
          <t>A</t>
        </is>
      </c>
      <c r="J38" s="65" t="inlineStr">
        <is>
          <t>A</t>
        </is>
      </c>
      <c r="K38" s="65" t="inlineStr">
        <is>
          <t>A</t>
        </is>
      </c>
      <c r="L38" s="65" t="inlineStr">
        <is>
          <t>A</t>
        </is>
      </c>
      <c r="M38" s="65" t="inlineStr">
        <is>
          <t>A</t>
        </is>
      </c>
      <c r="N38" s="65" t="inlineStr">
        <is>
          <t>A</t>
        </is>
      </c>
      <c r="O38" s="65" t="inlineStr">
        <is>
          <t>A</t>
        </is>
      </c>
      <c r="P38" s="65" t="inlineStr">
        <is>
          <t>A</t>
        </is>
      </c>
      <c r="Q38" s="65" t="inlineStr">
        <is>
          <t>A</t>
        </is>
      </c>
      <c r="R38" s="65" t="n"/>
      <c r="S38" s="65" t="inlineStr">
        <is>
          <t>E</t>
        </is>
      </c>
      <c r="T38" s="65" t="inlineStr">
        <is>
          <t>A</t>
        </is>
      </c>
      <c r="U38" s="55" t="inlineStr">
        <is>
          <t>A</t>
        </is>
      </c>
      <c r="V38" s="55" t="inlineStr">
        <is>
          <t>E</t>
        </is>
      </c>
      <c r="W38" s="55" t="inlineStr">
        <is>
          <t>E</t>
        </is>
      </c>
      <c r="X38" s="55" t="inlineStr">
        <is>
          <t>A</t>
        </is>
      </c>
      <c r="Y38" s="55" t="inlineStr">
        <is>
          <t>A</t>
        </is>
      </c>
      <c r="Z38" s="65" t="inlineStr">
        <is>
          <t>E</t>
        </is>
      </c>
      <c r="AA38" s="85">
        <f>IFERROR(VALUE(TRIM(LEFT($E38,SEARCH("x",$E38)-1))),"")</f>
        <v/>
      </c>
      <c r="AB38" s="73">
        <f>IFERROR(VALUE(TRIM(MID($E38,SEARCH("x",$E38)+1,10))),"")</f>
        <v/>
      </c>
      <c r="AC38" s="68">
        <f>IF(OR($AA38="",$AB38=""),"",IF($AA38&gt;$AB38,"A",IF($AA38&lt;$AB38,"B","E")))</f>
        <v/>
      </c>
      <c r="AD38" s="53" t="n"/>
    </row>
    <row r="39" ht="15.75" customHeight="1" thickBot="1">
      <c r="A39" s="178" t="n"/>
      <c r="B39" s="24" t="inlineStr">
        <is>
          <t>Nova Zelândia x Egito</t>
        </is>
      </c>
      <c r="C39" s="36">
        <f>TRIM(LEFT(B39,FIND(" x ",B39)-1))</f>
        <v/>
      </c>
      <c r="D39" s="36">
        <f>TRIM(MID(B39,FIND(" x ",B39)+3,100))</f>
        <v/>
      </c>
      <c r="E39" s="46" t="inlineStr">
        <is>
          <t>1x3</t>
        </is>
      </c>
      <c r="F39" s="176" t="n"/>
      <c r="G39" s="80" t="inlineStr">
        <is>
          <t>E</t>
        </is>
      </c>
      <c r="H39" s="60" t="inlineStr">
        <is>
          <t>A</t>
        </is>
      </c>
      <c r="I39" s="60" t="inlineStr">
        <is>
          <t>B</t>
        </is>
      </c>
      <c r="J39" s="60" t="inlineStr">
        <is>
          <t>E</t>
        </is>
      </c>
      <c r="K39" s="60" t="inlineStr">
        <is>
          <t>E</t>
        </is>
      </c>
      <c r="L39" s="60" t="inlineStr">
        <is>
          <t>E</t>
        </is>
      </c>
      <c r="M39" s="60" t="inlineStr">
        <is>
          <t>B</t>
        </is>
      </c>
      <c r="N39" s="60" t="inlineStr">
        <is>
          <t>B</t>
        </is>
      </c>
      <c r="O39" s="60" t="inlineStr">
        <is>
          <t>B</t>
        </is>
      </c>
      <c r="P39" s="60" t="inlineStr">
        <is>
          <t>B</t>
        </is>
      </c>
      <c r="Q39" s="60" t="inlineStr">
        <is>
          <t>A</t>
        </is>
      </c>
      <c r="R39" s="60" t="inlineStr">
        <is>
          <t>A</t>
        </is>
      </c>
      <c r="S39" s="60" t="inlineStr">
        <is>
          <t>E</t>
        </is>
      </c>
      <c r="T39" s="60" t="inlineStr">
        <is>
          <t>B</t>
        </is>
      </c>
      <c r="U39" s="61" t="inlineStr">
        <is>
          <t>B</t>
        </is>
      </c>
      <c r="V39" s="61" t="inlineStr">
        <is>
          <t>B</t>
        </is>
      </c>
      <c r="W39" s="61" t="inlineStr">
        <is>
          <t>E</t>
        </is>
      </c>
      <c r="X39" s="61" t="inlineStr">
        <is>
          <t>B</t>
        </is>
      </c>
      <c r="Y39" s="61" t="inlineStr">
        <is>
          <t>A</t>
        </is>
      </c>
      <c r="Z39" s="60" t="inlineStr">
        <is>
          <t>B</t>
        </is>
      </c>
      <c r="AA39" s="85">
        <f>IFERROR(VALUE(TRIM(LEFT($E39,SEARCH("x",$E39)-1))),"")</f>
        <v/>
      </c>
      <c r="AB39" s="73">
        <f>IFERROR(VALUE(TRIM(MID($E39,SEARCH("x",$E39)+1,10))),"")</f>
        <v/>
      </c>
      <c r="AC39" s="68">
        <f>IF(OR($AA39="",$AB39=""),"",IF($AA39&gt;$AB39,"A",IF($AA39&lt;$AB39,"B","E")))</f>
        <v/>
      </c>
      <c r="AD39" s="53" t="n"/>
    </row>
    <row r="40" ht="15.75" customHeight="1" thickBot="1">
      <c r="A40" s="178" t="n"/>
      <c r="B40" s="25" t="inlineStr">
        <is>
          <t>Espanha x Arábia Saudita</t>
        </is>
      </c>
      <c r="C40" s="37">
        <f>TRIM(LEFT(B40,FIND(" x ",B40)-1))</f>
        <v/>
      </c>
      <c r="D40" s="37">
        <f>TRIM(MID(B40,FIND(" x ",B40)+3,100))</f>
        <v/>
      </c>
      <c r="E40" s="47" t="inlineStr">
        <is>
          <t>4x0</t>
        </is>
      </c>
      <c r="F40" s="176" t="n"/>
      <c r="G40" s="81" t="inlineStr">
        <is>
          <t>A</t>
        </is>
      </c>
      <c r="H40" s="63" t="inlineStr">
        <is>
          <t>A</t>
        </is>
      </c>
      <c r="I40" s="63" t="inlineStr">
        <is>
          <t>A</t>
        </is>
      </c>
      <c r="J40" s="63" t="inlineStr">
        <is>
          <t>A</t>
        </is>
      </c>
      <c r="K40" s="63" t="inlineStr">
        <is>
          <t>A</t>
        </is>
      </c>
      <c r="L40" s="63" t="inlineStr">
        <is>
          <t>A</t>
        </is>
      </c>
      <c r="M40" s="63" t="inlineStr">
        <is>
          <t>A</t>
        </is>
      </c>
      <c r="N40" s="63" t="inlineStr">
        <is>
          <t>A</t>
        </is>
      </c>
      <c r="O40" s="63" t="inlineStr">
        <is>
          <t>A</t>
        </is>
      </c>
      <c r="P40" s="63" t="inlineStr">
        <is>
          <t>A</t>
        </is>
      </c>
      <c r="Q40" s="63" t="inlineStr">
        <is>
          <t>A</t>
        </is>
      </c>
      <c r="R40" s="63" t="n"/>
      <c r="S40" s="63" t="inlineStr">
        <is>
          <t>A</t>
        </is>
      </c>
      <c r="T40" s="63" t="inlineStr">
        <is>
          <t>A</t>
        </is>
      </c>
      <c r="U40" s="64" t="inlineStr">
        <is>
          <t>A</t>
        </is>
      </c>
      <c r="V40" s="64" t="inlineStr">
        <is>
          <t>A</t>
        </is>
      </c>
      <c r="W40" s="64" t="inlineStr">
        <is>
          <t>A</t>
        </is>
      </c>
      <c r="X40" s="64" t="inlineStr">
        <is>
          <t>A</t>
        </is>
      </c>
      <c r="Y40" s="64" t="inlineStr">
        <is>
          <t>A</t>
        </is>
      </c>
      <c r="Z40" s="63" t="inlineStr">
        <is>
          <t>A</t>
        </is>
      </c>
      <c r="AA40" s="85">
        <f>IFERROR(VALUE(TRIM(LEFT($E40,SEARCH("x",$E40)-1))),"")</f>
        <v/>
      </c>
      <c r="AB40" s="73">
        <f>IFERROR(VALUE(TRIM(MID($E40,SEARCH("x",$E40)+1,10))),"")</f>
        <v/>
      </c>
      <c r="AC40" s="68">
        <f>IF(OR($AA40="",$AB40=""),"",IF($AA40&gt;$AB40,"A",IF($AA40&lt;$AB40,"B","E")))</f>
        <v/>
      </c>
      <c r="AD40" s="53" t="n"/>
    </row>
    <row r="41" ht="15.75" customHeight="1" thickBot="1">
      <c r="A41" s="177" t="n"/>
      <c r="B41" s="26" t="inlineStr">
        <is>
          <t>Uruguai x Cabo Verde</t>
        </is>
      </c>
      <c r="C41" s="38">
        <f>TRIM(LEFT(B41,FIND(" x ",B41)-1))</f>
        <v/>
      </c>
      <c r="D41" s="38">
        <f>TRIM(MID(B41,FIND(" x ",B41)+3,100))</f>
        <v/>
      </c>
      <c r="E41" s="48" t="inlineStr">
        <is>
          <t>2x2</t>
        </is>
      </c>
      <c r="F41" s="176" t="n"/>
      <c r="G41" s="95" t="inlineStr">
        <is>
          <t>A</t>
        </is>
      </c>
      <c r="H41" s="96" t="inlineStr">
        <is>
          <t>A</t>
        </is>
      </c>
      <c r="I41" s="96" t="inlineStr">
        <is>
          <t>A</t>
        </is>
      </c>
      <c r="J41" s="96" t="inlineStr">
        <is>
          <t>A</t>
        </is>
      </c>
      <c r="K41" s="96" t="inlineStr">
        <is>
          <t>A</t>
        </is>
      </c>
      <c r="L41" s="96" t="inlineStr">
        <is>
          <t>A</t>
        </is>
      </c>
      <c r="M41" s="96" t="inlineStr">
        <is>
          <t>A</t>
        </is>
      </c>
      <c r="N41" s="96" t="inlineStr">
        <is>
          <t>A</t>
        </is>
      </c>
      <c r="O41" s="96" t="inlineStr">
        <is>
          <t>A</t>
        </is>
      </c>
      <c r="P41" s="96" t="inlineStr">
        <is>
          <t>A</t>
        </is>
      </c>
      <c r="Q41" s="96" t="inlineStr">
        <is>
          <t>E</t>
        </is>
      </c>
      <c r="R41" s="96" t="n"/>
      <c r="S41" s="96" t="inlineStr">
        <is>
          <t>A</t>
        </is>
      </c>
      <c r="T41" s="96" t="inlineStr">
        <is>
          <t>A</t>
        </is>
      </c>
      <c r="U41" s="97" t="inlineStr">
        <is>
          <t>A</t>
        </is>
      </c>
      <c r="V41" s="97" t="inlineStr">
        <is>
          <t>A</t>
        </is>
      </c>
      <c r="W41" s="97" t="inlineStr">
        <is>
          <t>A</t>
        </is>
      </c>
      <c r="X41" s="97" t="inlineStr">
        <is>
          <t>A</t>
        </is>
      </c>
      <c r="Y41" s="97" t="inlineStr">
        <is>
          <t>A</t>
        </is>
      </c>
      <c r="Z41" s="96" t="inlineStr">
        <is>
          <t>E</t>
        </is>
      </c>
      <c r="AA41" s="85">
        <f>IFERROR(VALUE(TRIM(LEFT($E41,SEARCH("x",$E41)-1))),"")</f>
        <v/>
      </c>
      <c r="AB41" s="73">
        <f>IFERROR(VALUE(TRIM(MID($E41,SEARCH("x",$E41)+1,10))),"")</f>
        <v/>
      </c>
      <c r="AC41" s="68">
        <f>IF(OR($AA41="",$AB41=""),"",IF($AA41&gt;$AB41,"A",IF($AA41&lt;$AB41,"B","E")))</f>
        <v/>
      </c>
      <c r="AD41" s="53" t="n"/>
    </row>
    <row r="42" ht="15.75" customHeight="1" thickBot="1">
      <c r="A42" s="165" t="n">
        <v>46195</v>
      </c>
      <c r="B42" s="21" t="inlineStr">
        <is>
          <t>França x Iraque</t>
        </is>
      </c>
      <c r="C42" s="33">
        <f>TRIM(LEFT(B42,FIND(" x ",B42)-1))</f>
        <v/>
      </c>
      <c r="D42" s="33">
        <f>TRIM(MID(B42,FIND(" x ",B42)+3,100))</f>
        <v/>
      </c>
      <c r="E42" s="45" t="inlineStr">
        <is>
          <t>1x0</t>
        </is>
      </c>
      <c r="F42" s="176" t="n"/>
      <c r="G42" s="79" t="inlineStr">
        <is>
          <t>A</t>
        </is>
      </c>
      <c r="H42" s="65" t="inlineStr">
        <is>
          <t>A</t>
        </is>
      </c>
      <c r="I42" s="65" t="inlineStr">
        <is>
          <t>A</t>
        </is>
      </c>
      <c r="J42" s="65" t="inlineStr">
        <is>
          <t>A</t>
        </is>
      </c>
      <c r="K42" s="65" t="inlineStr">
        <is>
          <t>A</t>
        </is>
      </c>
      <c r="L42" s="65" t="inlineStr">
        <is>
          <t>A</t>
        </is>
      </c>
      <c r="M42" s="65" t="inlineStr">
        <is>
          <t>A</t>
        </is>
      </c>
      <c r="N42" s="65" t="inlineStr">
        <is>
          <t>A</t>
        </is>
      </c>
      <c r="O42" s="65" t="inlineStr">
        <is>
          <t>A</t>
        </is>
      </c>
      <c r="P42" s="65" t="inlineStr">
        <is>
          <t>A</t>
        </is>
      </c>
      <c r="Q42" s="65" t="inlineStr">
        <is>
          <t>A</t>
        </is>
      </c>
      <c r="R42" s="65" t="inlineStr">
        <is>
          <t>A</t>
        </is>
      </c>
      <c r="S42" s="65" t="inlineStr">
        <is>
          <t>A</t>
        </is>
      </c>
      <c r="T42" s="65" t="inlineStr">
        <is>
          <t>A</t>
        </is>
      </c>
      <c r="U42" s="55" t="inlineStr">
        <is>
          <t>A</t>
        </is>
      </c>
      <c r="V42" s="55" t="inlineStr">
        <is>
          <t>A</t>
        </is>
      </c>
      <c r="W42" s="55" t="inlineStr">
        <is>
          <t>A</t>
        </is>
      </c>
      <c r="X42" s="55" t="inlineStr">
        <is>
          <t>A</t>
        </is>
      </c>
      <c r="Y42" s="55" t="inlineStr">
        <is>
          <t>A</t>
        </is>
      </c>
      <c r="Z42" s="65" t="inlineStr">
        <is>
          <t>A</t>
        </is>
      </c>
      <c r="AA42" s="85">
        <f>IFERROR(VALUE(TRIM(LEFT($E42,SEARCH("x",$E42)-1))),"")</f>
        <v/>
      </c>
      <c r="AB42" s="73">
        <f>IFERROR(VALUE(TRIM(MID($E42,SEARCH("x",$E42)+1,10))),"")</f>
        <v/>
      </c>
      <c r="AC42" s="68">
        <f>IF(OR($AA42="",$AB42=""),"",IF($AA42&gt;$AB42,"A",IF($AA42&lt;$AB42,"B","E")))</f>
        <v/>
      </c>
      <c r="AD42" s="53" t="n"/>
    </row>
    <row r="43" ht="15.75" customHeight="1" thickBot="1">
      <c r="A43" s="178" t="n"/>
      <c r="B43" s="27" t="inlineStr">
        <is>
          <t>Noruega x Senegal</t>
        </is>
      </c>
      <c r="C43" s="39">
        <f>TRIM(LEFT(B43,FIND(" x ",B43)-1))</f>
        <v/>
      </c>
      <c r="D43" s="39">
        <f>TRIM(MID(B43,FIND(" x ",B43)+3,100))</f>
        <v/>
      </c>
      <c r="E43" s="49" t="inlineStr">
        <is>
          <t>3x2</t>
        </is>
      </c>
      <c r="F43" s="176" t="n"/>
      <c r="G43" s="80" t="inlineStr">
        <is>
          <t>A</t>
        </is>
      </c>
      <c r="H43" s="60" t="inlineStr">
        <is>
          <t>E</t>
        </is>
      </c>
      <c r="I43" s="60" t="inlineStr">
        <is>
          <t>E</t>
        </is>
      </c>
      <c r="J43" s="60" t="inlineStr">
        <is>
          <t>A</t>
        </is>
      </c>
      <c r="K43" s="60" t="inlineStr">
        <is>
          <t>A</t>
        </is>
      </c>
      <c r="L43" s="60" t="inlineStr">
        <is>
          <t>A</t>
        </is>
      </c>
      <c r="M43" s="60" t="inlineStr">
        <is>
          <t>A</t>
        </is>
      </c>
      <c r="N43" s="60" t="inlineStr">
        <is>
          <t>A</t>
        </is>
      </c>
      <c r="O43" s="60" t="inlineStr">
        <is>
          <t>E</t>
        </is>
      </c>
      <c r="P43" s="60" t="inlineStr">
        <is>
          <t>A</t>
        </is>
      </c>
      <c r="Q43" s="60" t="inlineStr">
        <is>
          <t>A</t>
        </is>
      </c>
      <c r="R43" s="60" t="inlineStr">
        <is>
          <t>A</t>
        </is>
      </c>
      <c r="S43" s="60" t="inlineStr">
        <is>
          <t>A</t>
        </is>
      </c>
      <c r="T43" s="60" t="inlineStr">
        <is>
          <t>B</t>
        </is>
      </c>
      <c r="U43" s="61" t="inlineStr">
        <is>
          <t>E</t>
        </is>
      </c>
      <c r="V43" s="61" t="inlineStr">
        <is>
          <t>A</t>
        </is>
      </c>
      <c r="W43" s="61" t="inlineStr">
        <is>
          <t>A</t>
        </is>
      </c>
      <c r="X43" s="61" t="inlineStr">
        <is>
          <t>E</t>
        </is>
      </c>
      <c r="Y43" s="61" t="inlineStr">
        <is>
          <t>A</t>
        </is>
      </c>
      <c r="Z43" s="60" t="inlineStr">
        <is>
          <t>B</t>
        </is>
      </c>
      <c r="AA43" s="85">
        <f>IFERROR(VALUE(TRIM(LEFT($E43,SEARCH("x",$E43)-1))),"")</f>
        <v/>
      </c>
      <c r="AB43" s="73">
        <f>IFERROR(VALUE(TRIM(MID($E43,SEARCH("x",$E43)+1,10))),"")</f>
        <v/>
      </c>
      <c r="AC43" s="68">
        <f>IF(OR($AA43="",$AB43=""),"",IF($AA43&gt;$AB43,"A",IF($AA43&lt;$AB43,"B","E")))</f>
        <v/>
      </c>
      <c r="AD43" s="53" t="n"/>
    </row>
    <row r="44" ht="15.75" customHeight="1" thickBot="1">
      <c r="A44" s="178" t="n"/>
      <c r="B44" s="28" t="inlineStr">
        <is>
          <t>Argentina x Áustria</t>
        </is>
      </c>
      <c r="C44" s="40">
        <f>TRIM(LEFT(B44,FIND(" x ",B44)-1))</f>
        <v/>
      </c>
      <c r="D44" s="40">
        <f>TRIM(MID(B44,FIND(" x ",B44)+3,100))</f>
        <v/>
      </c>
      <c r="E44" s="50" t="inlineStr">
        <is>
          <t>2x0</t>
        </is>
      </c>
      <c r="F44" s="176" t="n"/>
      <c r="G44" s="81" t="inlineStr">
        <is>
          <t>A</t>
        </is>
      </c>
      <c r="H44" s="63" t="inlineStr">
        <is>
          <t>A</t>
        </is>
      </c>
      <c r="I44" s="63" t="inlineStr">
        <is>
          <t>A</t>
        </is>
      </c>
      <c r="J44" s="63" t="inlineStr">
        <is>
          <t>A</t>
        </is>
      </c>
      <c r="K44" s="63" t="inlineStr">
        <is>
          <t>A</t>
        </is>
      </c>
      <c r="L44" s="63" t="inlineStr">
        <is>
          <t>A</t>
        </is>
      </c>
      <c r="M44" s="63" t="inlineStr">
        <is>
          <t>A</t>
        </is>
      </c>
      <c r="N44" s="63" t="inlineStr">
        <is>
          <t>A</t>
        </is>
      </c>
      <c r="O44" s="63" t="inlineStr">
        <is>
          <t>A</t>
        </is>
      </c>
      <c r="P44" s="63" t="inlineStr">
        <is>
          <t>A</t>
        </is>
      </c>
      <c r="Q44" s="63" t="inlineStr">
        <is>
          <t>E</t>
        </is>
      </c>
      <c r="R44" s="63" t="inlineStr">
        <is>
          <t>A</t>
        </is>
      </c>
      <c r="S44" s="63" t="inlineStr">
        <is>
          <t>E</t>
        </is>
      </c>
      <c r="T44" s="63" t="inlineStr">
        <is>
          <t>A</t>
        </is>
      </c>
      <c r="U44" s="64" t="inlineStr">
        <is>
          <t>A</t>
        </is>
      </c>
      <c r="V44" s="64" t="inlineStr">
        <is>
          <t>A</t>
        </is>
      </c>
      <c r="W44" s="64" t="inlineStr">
        <is>
          <t>A</t>
        </is>
      </c>
      <c r="X44" s="64" t="inlineStr">
        <is>
          <t>A</t>
        </is>
      </c>
      <c r="Y44" s="64" t="inlineStr">
        <is>
          <t>A</t>
        </is>
      </c>
      <c r="Z44" s="63" t="inlineStr">
        <is>
          <t>B</t>
        </is>
      </c>
      <c r="AA44" s="85">
        <f>IFERROR(VALUE(TRIM(LEFT($E44,SEARCH("x",$E44)-1))),"")</f>
        <v/>
      </c>
      <c r="AB44" s="73">
        <f>IFERROR(VALUE(TRIM(MID($E44,SEARCH("x",$E44)+1,10))),"")</f>
        <v/>
      </c>
      <c r="AC44" s="68">
        <f>IF(OR($AA44="",$AB44=""),"",IF($AA44&gt;$AB44,"A",IF($AA44&lt;$AB44,"B","E")))</f>
        <v/>
      </c>
      <c r="AD44" s="53" t="n"/>
    </row>
    <row r="45" ht="15.75" customHeight="1" thickBot="1">
      <c r="A45" s="177" t="n"/>
      <c r="B45" s="29" t="inlineStr">
        <is>
          <t>Jordânia x Argélia</t>
        </is>
      </c>
      <c r="C45" s="41">
        <f>TRIM(LEFT(B45,FIND(" x ",B45)-1))</f>
        <v/>
      </c>
      <c r="D45" s="41">
        <f>TRIM(MID(B45,FIND(" x ",B45)+3,100))</f>
        <v/>
      </c>
      <c r="E45" s="51" t="inlineStr">
        <is>
          <t>1x2</t>
        </is>
      </c>
      <c r="F45" s="176" t="n"/>
      <c r="G45" s="95" t="inlineStr">
        <is>
          <t>B</t>
        </is>
      </c>
      <c r="H45" s="96" t="inlineStr">
        <is>
          <t>B</t>
        </is>
      </c>
      <c r="I45" s="96" t="inlineStr">
        <is>
          <t>B</t>
        </is>
      </c>
      <c r="J45" s="96" t="inlineStr">
        <is>
          <t>B</t>
        </is>
      </c>
      <c r="K45" s="96" t="inlineStr">
        <is>
          <t>B</t>
        </is>
      </c>
      <c r="L45" s="96" t="inlineStr">
        <is>
          <t>E</t>
        </is>
      </c>
      <c r="M45" s="96" t="inlineStr">
        <is>
          <t>B</t>
        </is>
      </c>
      <c r="N45" s="96" t="inlineStr">
        <is>
          <t>B</t>
        </is>
      </c>
      <c r="O45" s="96" t="inlineStr">
        <is>
          <t>B</t>
        </is>
      </c>
      <c r="P45" s="96" t="inlineStr">
        <is>
          <t>B</t>
        </is>
      </c>
      <c r="Q45" s="96" t="inlineStr">
        <is>
          <t>B</t>
        </is>
      </c>
      <c r="R45" s="96" t="inlineStr">
        <is>
          <t>B</t>
        </is>
      </c>
      <c r="S45" s="96" t="inlineStr">
        <is>
          <t>A</t>
        </is>
      </c>
      <c r="T45" s="96" t="inlineStr">
        <is>
          <t>B</t>
        </is>
      </c>
      <c r="U45" s="97" t="inlineStr">
        <is>
          <t>E</t>
        </is>
      </c>
      <c r="V45" s="97" t="inlineStr">
        <is>
          <t>E</t>
        </is>
      </c>
      <c r="W45" s="97" t="inlineStr">
        <is>
          <t>B</t>
        </is>
      </c>
      <c r="X45" s="97" t="inlineStr">
        <is>
          <t>B</t>
        </is>
      </c>
      <c r="Y45" s="97" t="inlineStr">
        <is>
          <t>E</t>
        </is>
      </c>
      <c r="Z45" s="96" t="inlineStr">
        <is>
          <t>E</t>
        </is>
      </c>
      <c r="AA45" s="85">
        <f>IFERROR(VALUE(TRIM(LEFT($E45,SEARCH("x",$E45)-1))),"")</f>
        <v/>
      </c>
      <c r="AB45" s="73">
        <f>IFERROR(VALUE(TRIM(MID($E45,SEARCH("x",$E45)+1,10))),"")</f>
        <v/>
      </c>
      <c r="AC45" s="68">
        <f>IF(OR($AA45="",$AB45=""),"",IF($AA45&gt;$AB45,"A",IF($AA45&lt;$AB45,"B","E")))</f>
        <v/>
      </c>
      <c r="AD45" s="53" t="n"/>
    </row>
    <row r="46" ht="15.75" customHeight="1" thickBot="1">
      <c r="A46" s="161" t="n">
        <v>46196</v>
      </c>
      <c r="B46" s="23" t="inlineStr">
        <is>
          <t>Portugal x Uzbequistão</t>
        </is>
      </c>
      <c r="C46" s="35">
        <f>TRIM(LEFT(B46,FIND(" x ",B46)-1))</f>
        <v/>
      </c>
      <c r="D46" s="35">
        <f>TRIM(MID(B46,FIND(" x ",B46)+3,100))</f>
        <v/>
      </c>
      <c r="E46" s="43" t="inlineStr">
        <is>
          <t>5x0</t>
        </is>
      </c>
      <c r="F46" s="176" t="n"/>
      <c r="G46" s="79" t="inlineStr">
        <is>
          <t>A</t>
        </is>
      </c>
      <c r="H46" s="58" t="inlineStr">
        <is>
          <t>A</t>
        </is>
      </c>
      <c r="I46" s="58" t="inlineStr">
        <is>
          <t>A</t>
        </is>
      </c>
      <c r="J46" s="58" t="inlineStr">
        <is>
          <t>A</t>
        </is>
      </c>
      <c r="K46" s="58" t="inlineStr">
        <is>
          <t>A</t>
        </is>
      </c>
      <c r="L46" s="58" t="inlineStr">
        <is>
          <t>A</t>
        </is>
      </c>
      <c r="M46" s="58" t="inlineStr">
        <is>
          <t>A</t>
        </is>
      </c>
      <c r="N46" s="58" t="inlineStr">
        <is>
          <t>A</t>
        </is>
      </c>
      <c r="O46" s="58" t="inlineStr">
        <is>
          <t>A</t>
        </is>
      </c>
      <c r="P46" s="58" t="inlineStr">
        <is>
          <t>A</t>
        </is>
      </c>
      <c r="Q46" s="58" t="inlineStr">
        <is>
          <t>A</t>
        </is>
      </c>
      <c r="R46" s="58" t="inlineStr">
        <is>
          <t>A</t>
        </is>
      </c>
      <c r="S46" s="58" t="inlineStr">
        <is>
          <t>A</t>
        </is>
      </c>
      <c r="T46" s="58" t="inlineStr">
        <is>
          <t>A</t>
        </is>
      </c>
      <c r="U46" s="58" t="inlineStr">
        <is>
          <t>A</t>
        </is>
      </c>
      <c r="V46" s="58" t="inlineStr">
        <is>
          <t>A</t>
        </is>
      </c>
      <c r="W46" s="58" t="inlineStr">
        <is>
          <t>A</t>
        </is>
      </c>
      <c r="X46" s="58" t="inlineStr">
        <is>
          <t>A</t>
        </is>
      </c>
      <c r="Y46" s="58" t="inlineStr">
        <is>
          <t>A</t>
        </is>
      </c>
      <c r="Z46" s="110" t="inlineStr">
        <is>
          <t>A</t>
        </is>
      </c>
      <c r="AA46" s="85">
        <f>IFERROR(VALUE(TRIM(LEFT($E46,SEARCH("x",$E46)-1))),"")</f>
        <v/>
      </c>
      <c r="AB46" s="73">
        <f>IFERROR(VALUE(TRIM(MID($E46,SEARCH("x",$E46)+1,10))),"")</f>
        <v/>
      </c>
      <c r="AC46" s="68">
        <f>IF(OR($AA46="",$AB46=""),"",IF($AA46&gt;$AB46,"A",IF($AA46&lt;$AB46,"B","E")))</f>
        <v/>
      </c>
      <c r="AD46" s="53" t="n"/>
    </row>
    <row r="47" ht="15.75" customHeight="1" thickBot="1">
      <c r="A47" s="178" t="n"/>
      <c r="B47" s="24" t="inlineStr">
        <is>
          <t>Colômbia x Rep. Dem. Congo</t>
        </is>
      </c>
      <c r="C47" s="36">
        <f>TRIM(LEFT(B47,FIND(" x ",B47)-1))</f>
        <v/>
      </c>
      <c r="D47" s="36">
        <f>TRIM(MID(B47,FIND(" x ",B47)+3,100))</f>
        <v/>
      </c>
      <c r="E47" s="46" t="inlineStr">
        <is>
          <t>1X0</t>
        </is>
      </c>
      <c r="F47" s="176" t="n"/>
      <c r="G47" s="80" t="inlineStr">
        <is>
          <t>A</t>
        </is>
      </c>
      <c r="H47" s="60" t="inlineStr">
        <is>
          <t>A</t>
        </is>
      </c>
      <c r="I47" s="60" t="inlineStr">
        <is>
          <t>A</t>
        </is>
      </c>
      <c r="J47" s="60" t="inlineStr">
        <is>
          <t>A</t>
        </is>
      </c>
      <c r="K47" s="60" t="inlineStr">
        <is>
          <t>A</t>
        </is>
      </c>
      <c r="L47" s="60" t="inlineStr">
        <is>
          <t>A</t>
        </is>
      </c>
      <c r="M47" s="60" t="inlineStr">
        <is>
          <t>A</t>
        </is>
      </c>
      <c r="N47" s="60" t="inlineStr">
        <is>
          <t>A</t>
        </is>
      </c>
      <c r="O47" s="60" t="inlineStr">
        <is>
          <t>A</t>
        </is>
      </c>
      <c r="P47" s="60" t="inlineStr">
        <is>
          <t>A</t>
        </is>
      </c>
      <c r="Q47" s="60" t="inlineStr">
        <is>
          <t>B</t>
        </is>
      </c>
      <c r="R47" s="60" t="inlineStr">
        <is>
          <t>E</t>
        </is>
      </c>
      <c r="S47" s="60" t="inlineStr">
        <is>
          <t>A</t>
        </is>
      </c>
      <c r="T47" s="60" t="inlineStr">
        <is>
          <t>E</t>
        </is>
      </c>
      <c r="U47" s="61" t="inlineStr">
        <is>
          <t>A</t>
        </is>
      </c>
      <c r="V47" s="61" t="inlineStr">
        <is>
          <t>A</t>
        </is>
      </c>
      <c r="W47" s="61" t="inlineStr">
        <is>
          <t>A</t>
        </is>
      </c>
      <c r="X47" s="61" t="inlineStr">
        <is>
          <t>A</t>
        </is>
      </c>
      <c r="Y47" s="61" t="inlineStr">
        <is>
          <t>E</t>
        </is>
      </c>
      <c r="Z47" s="60" t="inlineStr">
        <is>
          <t>A</t>
        </is>
      </c>
      <c r="AA47" s="85">
        <f>IFERROR(VALUE(TRIM(LEFT($E47,SEARCH("x",$E47)-1))),"")</f>
        <v/>
      </c>
      <c r="AB47" s="73">
        <f>IFERROR(VALUE(TRIM(MID($E47,SEARCH("x",$E47)+1,10))),"")</f>
        <v/>
      </c>
      <c r="AC47" s="68">
        <f>IF(OR($AA47="",$AB47=""),"",IF($AA47&gt;$AB47,"A",IF($AA47&lt;$AB47,"B","E")))</f>
        <v/>
      </c>
      <c r="AD47" s="53" t="n"/>
    </row>
    <row r="48" ht="15.75" customHeight="1" thickBot="1">
      <c r="A48" s="178" t="n"/>
      <c r="B48" s="25" t="inlineStr">
        <is>
          <t>Inglaterra x Gana</t>
        </is>
      </c>
      <c r="C48" s="37">
        <f>TRIM(LEFT(B48,FIND(" x ",B48)-1))</f>
        <v/>
      </c>
      <c r="D48" s="37">
        <f>TRIM(MID(B48,FIND(" x ",B48)+3,100))</f>
        <v/>
      </c>
      <c r="E48" s="47" t="inlineStr">
        <is>
          <t>0x0</t>
        </is>
      </c>
      <c r="F48" s="176" t="n"/>
      <c r="G48" s="81" t="inlineStr">
        <is>
          <t>A</t>
        </is>
      </c>
      <c r="H48" s="62" t="inlineStr">
        <is>
          <t>A</t>
        </is>
      </c>
      <c r="I48" s="62" t="inlineStr">
        <is>
          <t>A</t>
        </is>
      </c>
      <c r="J48" s="62" t="inlineStr">
        <is>
          <t>A</t>
        </is>
      </c>
      <c r="K48" s="62" t="inlineStr">
        <is>
          <t>A</t>
        </is>
      </c>
      <c r="L48" s="62" t="inlineStr">
        <is>
          <t>A</t>
        </is>
      </c>
      <c r="M48" s="62" t="inlineStr">
        <is>
          <t>A</t>
        </is>
      </c>
      <c r="N48" s="62" t="inlineStr">
        <is>
          <t>A</t>
        </is>
      </c>
      <c r="O48" s="62" t="inlineStr">
        <is>
          <t>A</t>
        </is>
      </c>
      <c r="P48" s="62" t="inlineStr">
        <is>
          <t>A</t>
        </is>
      </c>
      <c r="Q48" s="62" t="inlineStr">
        <is>
          <t>E</t>
        </is>
      </c>
      <c r="R48" s="62" t="inlineStr">
        <is>
          <t>A</t>
        </is>
      </c>
      <c r="S48" s="62" t="inlineStr">
        <is>
          <t>A</t>
        </is>
      </c>
      <c r="T48" s="62" t="inlineStr">
        <is>
          <t>A</t>
        </is>
      </c>
      <c r="U48" s="62" t="inlineStr">
        <is>
          <t>A</t>
        </is>
      </c>
      <c r="V48" s="62" t="inlineStr">
        <is>
          <t>A</t>
        </is>
      </c>
      <c r="W48" s="62" t="inlineStr">
        <is>
          <t>A</t>
        </is>
      </c>
      <c r="X48" s="62" t="inlineStr">
        <is>
          <t>A</t>
        </is>
      </c>
      <c r="Y48" s="62" t="inlineStr">
        <is>
          <t>A</t>
        </is>
      </c>
      <c r="Z48" s="101" t="inlineStr">
        <is>
          <t>A</t>
        </is>
      </c>
      <c r="AA48" s="85">
        <f>IFERROR(VALUE(TRIM(LEFT($E48,SEARCH("x",$E48)-1))),"")</f>
        <v/>
      </c>
      <c r="AB48" s="73">
        <f>IFERROR(VALUE(TRIM(MID($E48,SEARCH("x",$E48)+1,10))),"")</f>
        <v/>
      </c>
      <c r="AC48" s="68">
        <f>IF(OR($AA48="",$AB48=""),"",IF($AA48&gt;$AB48,"A",IF($AA48&lt;$AB48,"B","E")))</f>
        <v/>
      </c>
      <c r="AD48" s="53" t="n"/>
    </row>
    <row r="49" ht="15.75" customHeight="1" thickBot="1">
      <c r="A49" s="177" t="n"/>
      <c r="B49" s="26" t="inlineStr">
        <is>
          <t>Panamá x Croácia</t>
        </is>
      </c>
      <c r="C49" s="38">
        <f>TRIM(LEFT(B49,FIND(" x ",B49)-1))</f>
        <v/>
      </c>
      <c r="D49" s="38">
        <f>TRIM(MID(B49,FIND(" x ",B49)+3,100))</f>
        <v/>
      </c>
      <c r="E49" s="48" t="inlineStr">
        <is>
          <t>0X1</t>
        </is>
      </c>
      <c r="F49" s="176" t="n"/>
      <c r="G49" s="95" t="inlineStr">
        <is>
          <t>B</t>
        </is>
      </c>
      <c r="H49" s="102" t="inlineStr">
        <is>
          <t>B</t>
        </is>
      </c>
      <c r="I49" s="102" t="inlineStr">
        <is>
          <t>B</t>
        </is>
      </c>
      <c r="J49" s="102" t="inlineStr">
        <is>
          <t>B</t>
        </is>
      </c>
      <c r="K49" s="102" t="inlineStr">
        <is>
          <t>B</t>
        </is>
      </c>
      <c r="L49" s="102" t="inlineStr">
        <is>
          <t>B</t>
        </is>
      </c>
      <c r="M49" s="102" t="inlineStr">
        <is>
          <t>B</t>
        </is>
      </c>
      <c r="N49" s="102" t="inlineStr">
        <is>
          <t>B</t>
        </is>
      </c>
      <c r="O49" s="102" t="inlineStr">
        <is>
          <t>B</t>
        </is>
      </c>
      <c r="P49" s="102" t="inlineStr">
        <is>
          <t>B</t>
        </is>
      </c>
      <c r="Q49" s="102" t="inlineStr">
        <is>
          <t>B</t>
        </is>
      </c>
      <c r="R49" s="102" t="inlineStr">
        <is>
          <t>B</t>
        </is>
      </c>
      <c r="S49" s="102" t="inlineStr">
        <is>
          <t>B</t>
        </is>
      </c>
      <c r="T49" s="102" t="inlineStr">
        <is>
          <t>B</t>
        </is>
      </c>
      <c r="U49" s="102" t="inlineStr">
        <is>
          <t>B</t>
        </is>
      </c>
      <c r="V49" s="102" t="inlineStr">
        <is>
          <t>B</t>
        </is>
      </c>
      <c r="W49" s="102" t="inlineStr">
        <is>
          <t>B</t>
        </is>
      </c>
      <c r="X49" s="102" t="inlineStr">
        <is>
          <t>B</t>
        </is>
      </c>
      <c r="Y49" s="102" t="inlineStr">
        <is>
          <t>B</t>
        </is>
      </c>
      <c r="Z49" s="112" t="inlineStr">
        <is>
          <t>B</t>
        </is>
      </c>
      <c r="AA49" s="85">
        <f>IFERROR(VALUE(TRIM(LEFT($E49,SEARCH("x",$E49)-1))),"")</f>
        <v/>
      </c>
      <c r="AB49" s="73">
        <f>IFERROR(VALUE(TRIM(MID($E49,SEARCH("x",$E49)+1,10))),"")</f>
        <v/>
      </c>
      <c r="AC49" s="68">
        <f>IF(OR($AA49="",$AB49=""),"",IF($AA49&gt;$AB49,"A",IF($AA49&lt;$AB49,"B","E")))</f>
        <v/>
      </c>
      <c r="AD49" s="53" t="n"/>
    </row>
    <row r="50" ht="15.75" customHeight="1" thickBot="1">
      <c r="A50" s="165" t="n">
        <v>46197</v>
      </c>
      <c r="B50" s="21" t="inlineStr">
        <is>
          <t>África do Sul x Coreia do Sul</t>
        </is>
      </c>
      <c r="C50" s="33">
        <f>TRIM(LEFT(B50,FIND(" x ",B50)-1))</f>
        <v/>
      </c>
      <c r="D50" s="33">
        <f>TRIM(MID(B50,FIND(" x ",B50)+3,100))</f>
        <v/>
      </c>
      <c r="E50" s="45" t="inlineStr">
        <is>
          <t>1x0</t>
        </is>
      </c>
      <c r="F50" s="176" t="n"/>
      <c r="G50" s="65" t="inlineStr">
        <is>
          <t>B</t>
        </is>
      </c>
      <c r="H50" s="65" t="inlineStr">
        <is>
          <t>B</t>
        </is>
      </c>
      <c r="I50" s="65" t="inlineStr">
        <is>
          <t>B</t>
        </is>
      </c>
      <c r="J50" s="65" t="inlineStr">
        <is>
          <t>B</t>
        </is>
      </c>
      <c r="K50" s="65" t="inlineStr">
        <is>
          <t>B</t>
        </is>
      </c>
      <c r="L50" s="65" t="inlineStr">
        <is>
          <t>B</t>
        </is>
      </c>
      <c r="M50" s="65" t="inlineStr">
        <is>
          <t>B</t>
        </is>
      </c>
      <c r="N50" s="65" t="inlineStr">
        <is>
          <t>B</t>
        </is>
      </c>
      <c r="O50" s="65" t="inlineStr">
        <is>
          <t>B</t>
        </is>
      </c>
      <c r="P50" s="65" t="inlineStr">
        <is>
          <t>B</t>
        </is>
      </c>
      <c r="Q50" s="111" t="inlineStr">
        <is>
          <t>B</t>
        </is>
      </c>
      <c r="R50" s="65" t="inlineStr">
        <is>
          <t>E</t>
        </is>
      </c>
      <c r="S50" s="65" t="inlineStr">
        <is>
          <t>B</t>
        </is>
      </c>
      <c r="T50" s="65" t="inlineStr">
        <is>
          <t>B</t>
        </is>
      </c>
      <c r="U50" s="65" t="inlineStr">
        <is>
          <t>B</t>
        </is>
      </c>
      <c r="V50" s="65" t="inlineStr">
        <is>
          <t>B</t>
        </is>
      </c>
      <c r="W50" s="65" t="inlineStr">
        <is>
          <t>B</t>
        </is>
      </c>
      <c r="X50" s="65" t="inlineStr">
        <is>
          <t>B</t>
        </is>
      </c>
      <c r="Y50" s="65" t="inlineStr">
        <is>
          <t>B</t>
        </is>
      </c>
      <c r="Z50" s="65" t="inlineStr">
        <is>
          <t>E</t>
        </is>
      </c>
      <c r="AA50" s="85">
        <f>IFERROR(VALUE(TRIM(LEFT($E50,SEARCH("x",$E50)-1))),"")</f>
        <v/>
      </c>
      <c r="AB50" s="73">
        <f>IFERROR(VALUE(TRIM(MID($E50,SEARCH("x",$E50)+1,10))),"")</f>
        <v/>
      </c>
      <c r="AC50" s="68">
        <f>IF(OR($AA50="",$AB50=""),"",IF($AA50&gt;$AB50,"A",IF($AA50&lt;$AB50,"B","E")))</f>
        <v/>
      </c>
      <c r="AD50" s="53" t="n"/>
    </row>
    <row r="51" ht="15.75" customHeight="1" thickBot="1">
      <c r="A51" s="178" t="n"/>
      <c r="B51" s="27" t="inlineStr">
        <is>
          <t>Tchéquia x México</t>
        </is>
      </c>
      <c r="C51" s="39">
        <f>TRIM(LEFT(B51,FIND(" x ",B51)-1))</f>
        <v/>
      </c>
      <c r="D51" s="39">
        <f>TRIM(MID(B51,FIND(" x ",B51)+3,100))</f>
        <v/>
      </c>
      <c r="E51" s="49" t="inlineStr">
        <is>
          <t>0x3</t>
        </is>
      </c>
      <c r="F51" s="176" t="n"/>
      <c r="G51" s="87" t="inlineStr">
        <is>
          <t>B</t>
        </is>
      </c>
      <c r="H51" s="60" t="inlineStr">
        <is>
          <t>B</t>
        </is>
      </c>
      <c r="I51" s="60" t="inlineStr">
        <is>
          <t>B</t>
        </is>
      </c>
      <c r="J51" s="60" t="inlineStr">
        <is>
          <t>B</t>
        </is>
      </c>
      <c r="K51" s="60" t="inlineStr">
        <is>
          <t>B</t>
        </is>
      </c>
      <c r="L51" s="60" t="inlineStr">
        <is>
          <t>B</t>
        </is>
      </c>
      <c r="M51" s="60" t="inlineStr">
        <is>
          <t>B</t>
        </is>
      </c>
      <c r="N51" s="60" t="inlineStr">
        <is>
          <t>B</t>
        </is>
      </c>
      <c r="O51" s="60" t="inlineStr">
        <is>
          <t>B</t>
        </is>
      </c>
      <c r="P51" s="60" t="inlineStr">
        <is>
          <t>B</t>
        </is>
      </c>
      <c r="Q51" s="86" t="inlineStr">
        <is>
          <t>B</t>
        </is>
      </c>
      <c r="R51" s="60" t="inlineStr">
        <is>
          <t>B</t>
        </is>
      </c>
      <c r="S51" s="60" t="inlineStr">
        <is>
          <t>B</t>
        </is>
      </c>
      <c r="T51" s="60" t="inlineStr">
        <is>
          <t>E</t>
        </is>
      </c>
      <c r="U51" s="60" t="inlineStr">
        <is>
          <t>B</t>
        </is>
      </c>
      <c r="V51" s="60" t="inlineStr">
        <is>
          <t>B</t>
        </is>
      </c>
      <c r="W51" s="60" t="inlineStr">
        <is>
          <t>B</t>
        </is>
      </c>
      <c r="X51" s="60" t="inlineStr">
        <is>
          <t>B</t>
        </is>
      </c>
      <c r="Y51" s="60" t="inlineStr">
        <is>
          <t>B</t>
        </is>
      </c>
      <c r="Z51" s="60" t="inlineStr">
        <is>
          <t>B</t>
        </is>
      </c>
      <c r="AA51" s="85">
        <f>IFERROR(VALUE(TRIM(LEFT($E51,SEARCH("x",$E51)-1))),"")</f>
        <v/>
      </c>
      <c r="AB51" s="73">
        <f>IFERROR(VALUE(TRIM(MID($E51,SEARCH("x",$E51)+1,10))),"")</f>
        <v/>
      </c>
      <c r="AC51" s="68">
        <f>IF(OR($AA51="",$AB51=""),"",IF($AA51&gt;$AB51,"A",IF($AA51&lt;$AB51,"B","E")))</f>
        <v/>
      </c>
      <c r="AD51" s="53" t="n"/>
    </row>
    <row r="52" ht="15.75" customHeight="1" thickBot="1">
      <c r="A52" s="178" t="n"/>
      <c r="B52" s="28" t="inlineStr">
        <is>
          <t>Suíça x Canadá</t>
        </is>
      </c>
      <c r="C52" s="40">
        <f>TRIM(LEFT(B52,FIND(" x ",B52)-1))</f>
        <v/>
      </c>
      <c r="D52" s="40">
        <f>TRIM(MID(B52,FIND(" x ",B52)+3,100))</f>
        <v/>
      </c>
      <c r="E52" s="50" t="inlineStr">
        <is>
          <t>2x1</t>
        </is>
      </c>
      <c r="F52" s="176" t="n"/>
      <c r="G52" s="87" t="inlineStr">
        <is>
          <t>B</t>
        </is>
      </c>
      <c r="H52" s="60" t="inlineStr">
        <is>
          <t>A</t>
        </is>
      </c>
      <c r="I52" s="60" t="inlineStr">
        <is>
          <t>B</t>
        </is>
      </c>
      <c r="J52" s="60" t="inlineStr">
        <is>
          <t>E</t>
        </is>
      </c>
      <c r="K52" s="60" t="inlineStr">
        <is>
          <t>B</t>
        </is>
      </c>
      <c r="L52" s="60" t="inlineStr">
        <is>
          <t>A</t>
        </is>
      </c>
      <c r="M52" s="60" t="inlineStr">
        <is>
          <t>B</t>
        </is>
      </c>
      <c r="N52" s="60" t="inlineStr">
        <is>
          <t>E</t>
        </is>
      </c>
      <c r="O52" s="60" t="inlineStr">
        <is>
          <t>B</t>
        </is>
      </c>
      <c r="P52" s="60" t="inlineStr">
        <is>
          <t>E</t>
        </is>
      </c>
      <c r="Q52" s="86" t="inlineStr">
        <is>
          <t>E</t>
        </is>
      </c>
      <c r="R52" s="60" t="inlineStr">
        <is>
          <t>E</t>
        </is>
      </c>
      <c r="S52" s="60" t="inlineStr">
        <is>
          <t>B</t>
        </is>
      </c>
      <c r="T52" s="60" t="inlineStr">
        <is>
          <t>A</t>
        </is>
      </c>
      <c r="U52" s="60" t="inlineStr">
        <is>
          <t>B</t>
        </is>
      </c>
      <c r="V52" s="60" t="inlineStr">
        <is>
          <t>B</t>
        </is>
      </c>
      <c r="W52" s="60" t="inlineStr">
        <is>
          <t>A</t>
        </is>
      </c>
      <c r="X52" s="60" t="inlineStr">
        <is>
          <t>B</t>
        </is>
      </c>
      <c r="Y52" s="60" t="inlineStr">
        <is>
          <t>B</t>
        </is>
      </c>
      <c r="Z52" s="60" t="inlineStr">
        <is>
          <t>B</t>
        </is>
      </c>
      <c r="AA52" s="85">
        <f>IFERROR(VALUE(TRIM(LEFT($E52,SEARCH("x",$E52)-1))),"")</f>
        <v/>
      </c>
      <c r="AB52" s="73">
        <f>IFERROR(VALUE(TRIM(MID($E52,SEARCH("x",$E52)+1,10))),"")</f>
        <v/>
      </c>
      <c r="AC52" s="68">
        <f>IF(OR($AA52="",$AB52=""),"",IF($AA52&gt;$AB52,"A",IF($AA52&lt;$AB52,"B","E")))</f>
        <v/>
      </c>
      <c r="AD52" s="53" t="n"/>
    </row>
    <row r="53" ht="15.75" customHeight="1" thickBot="1">
      <c r="A53" s="178" t="n"/>
      <c r="B53" s="28" t="inlineStr">
        <is>
          <t>Bósnia e Herzeg. x Catar</t>
        </is>
      </c>
      <c r="C53" s="40">
        <f>TRIM(LEFT(B53,FIND(" x ",B53)-1))</f>
        <v/>
      </c>
      <c r="D53" s="40">
        <f>TRIM(MID(B53,FIND(" x ",B53)+3,100))</f>
        <v/>
      </c>
      <c r="E53" s="50" t="inlineStr">
        <is>
          <t>3x1</t>
        </is>
      </c>
      <c r="F53" s="176" t="n"/>
      <c r="G53" s="87" t="inlineStr">
        <is>
          <t>A</t>
        </is>
      </c>
      <c r="H53" s="60" t="inlineStr">
        <is>
          <t>A</t>
        </is>
      </c>
      <c r="I53" s="60" t="inlineStr">
        <is>
          <t>A</t>
        </is>
      </c>
      <c r="J53" s="60" t="inlineStr">
        <is>
          <t>A</t>
        </is>
      </c>
      <c r="K53" s="60" t="inlineStr">
        <is>
          <t>E</t>
        </is>
      </c>
      <c r="L53" s="60" t="inlineStr">
        <is>
          <t>A</t>
        </is>
      </c>
      <c r="M53" s="60" t="inlineStr">
        <is>
          <t>A</t>
        </is>
      </c>
      <c r="N53" s="60" t="inlineStr">
        <is>
          <t>A</t>
        </is>
      </c>
      <c r="O53" s="60" t="inlineStr">
        <is>
          <t>A</t>
        </is>
      </c>
      <c r="P53" s="60" t="inlineStr">
        <is>
          <t>A</t>
        </is>
      </c>
      <c r="Q53" s="86" t="inlineStr">
        <is>
          <t>A</t>
        </is>
      </c>
      <c r="R53" s="60" t="inlineStr">
        <is>
          <t>E</t>
        </is>
      </c>
      <c r="S53" s="60" t="inlineStr">
        <is>
          <t>A</t>
        </is>
      </c>
      <c r="T53" s="60" t="inlineStr">
        <is>
          <t>A</t>
        </is>
      </c>
      <c r="U53" s="60" t="inlineStr">
        <is>
          <t>A</t>
        </is>
      </c>
      <c r="V53" s="60" t="inlineStr">
        <is>
          <t>E</t>
        </is>
      </c>
      <c r="W53" s="60" t="inlineStr">
        <is>
          <t>B</t>
        </is>
      </c>
      <c r="X53" s="60" t="inlineStr">
        <is>
          <t>B</t>
        </is>
      </c>
      <c r="Y53" s="60" t="inlineStr">
        <is>
          <t>A</t>
        </is>
      </c>
      <c r="Z53" s="60" t="inlineStr">
        <is>
          <t>B</t>
        </is>
      </c>
      <c r="AA53" s="85">
        <f>IFERROR(VALUE(TRIM(LEFT($E53,SEARCH("x",$E53)-1))),"")</f>
        <v/>
      </c>
      <c r="AB53" s="73">
        <f>IFERROR(VALUE(TRIM(MID($E53,SEARCH("x",$E53)+1,10))),"")</f>
        <v/>
      </c>
      <c r="AC53" s="68">
        <f>IF(OR($AA53="",$AB53=""),"",IF($AA53&gt;$AB53,"A",IF($AA53&lt;$AB53,"B","E")))</f>
        <v/>
      </c>
      <c r="AD53" s="53" t="n"/>
    </row>
    <row r="54" ht="15.75" customHeight="1" thickBot="1">
      <c r="A54" s="178" t="n"/>
      <c r="B54" s="28" t="inlineStr">
        <is>
          <t>Marrocos x Haiti</t>
        </is>
      </c>
      <c r="C54" s="40">
        <f>TRIM(LEFT(B54,FIND(" x ",B54)-1))</f>
        <v/>
      </c>
      <c r="D54" s="40">
        <f>TRIM(MID(B54,FIND(" x ",B54)+3,100))</f>
        <v/>
      </c>
      <c r="E54" s="50" t="inlineStr">
        <is>
          <t>4x2</t>
        </is>
      </c>
      <c r="F54" s="176" t="n"/>
      <c r="G54" s="113" t="inlineStr">
        <is>
          <t>A</t>
        </is>
      </c>
      <c r="H54" s="63" t="inlineStr">
        <is>
          <t>A</t>
        </is>
      </c>
      <c r="I54" s="63" t="inlineStr">
        <is>
          <t>A</t>
        </is>
      </c>
      <c r="J54" s="63" t="inlineStr">
        <is>
          <t>A</t>
        </is>
      </c>
      <c r="K54" s="63" t="inlineStr">
        <is>
          <t>A</t>
        </is>
      </c>
      <c r="L54" s="63" t="inlineStr">
        <is>
          <t>A</t>
        </is>
      </c>
      <c r="M54" s="63" t="inlineStr">
        <is>
          <t>A</t>
        </is>
      </c>
      <c r="N54" s="63" t="inlineStr">
        <is>
          <t>A</t>
        </is>
      </c>
      <c r="O54" s="63" t="inlineStr">
        <is>
          <t>A</t>
        </is>
      </c>
      <c r="P54" s="63" t="inlineStr">
        <is>
          <t>A</t>
        </is>
      </c>
      <c r="Q54" s="114" t="inlineStr">
        <is>
          <t>A</t>
        </is>
      </c>
      <c r="R54" s="63" t="inlineStr">
        <is>
          <t>A</t>
        </is>
      </c>
      <c r="S54" s="63" t="inlineStr">
        <is>
          <t>A</t>
        </is>
      </c>
      <c r="T54" s="63" t="inlineStr">
        <is>
          <t>A</t>
        </is>
      </c>
      <c r="U54" s="63" t="inlineStr">
        <is>
          <t>A</t>
        </is>
      </c>
      <c r="V54" s="63" t="inlineStr">
        <is>
          <t>A</t>
        </is>
      </c>
      <c r="W54" s="63" t="inlineStr">
        <is>
          <t>A</t>
        </is>
      </c>
      <c r="X54" s="63" t="inlineStr">
        <is>
          <t>A</t>
        </is>
      </c>
      <c r="Y54" s="63" t="inlineStr">
        <is>
          <t>A</t>
        </is>
      </c>
      <c r="Z54" s="63" t="inlineStr">
        <is>
          <t>A</t>
        </is>
      </c>
      <c r="AA54" s="85">
        <f>IFERROR(VALUE(TRIM(LEFT($E54,SEARCH("x",$E54)-1))),"")</f>
        <v/>
      </c>
      <c r="AB54" s="73">
        <f>IFERROR(VALUE(TRIM(MID($E54,SEARCH("x",$E54)+1,10))),"")</f>
        <v/>
      </c>
      <c r="AC54" s="68">
        <f>IF(OR($AA54="",$AB54=""),"",IF($AA54&gt;$AB54,"A",IF($AA54&lt;$AB54,"B","E")))</f>
        <v/>
      </c>
      <c r="AD54" s="53" t="n"/>
    </row>
    <row r="55" ht="15.75" customHeight="1" thickBot="1">
      <c r="A55" s="177" t="n"/>
      <c r="B55" s="29" t="inlineStr">
        <is>
          <t>Escócia x Brasil</t>
        </is>
      </c>
      <c r="C55" s="41">
        <f>TRIM(LEFT(B55,FIND(" x ",B55)-1))</f>
        <v/>
      </c>
      <c r="D55" s="41">
        <f>TRIM(MID(B55,FIND(" x ",B55)+3,100))</f>
        <v/>
      </c>
      <c r="E55" s="51" t="inlineStr">
        <is>
          <t>0x3</t>
        </is>
      </c>
      <c r="F55" s="176" t="n"/>
      <c r="G55" s="113" t="inlineStr">
        <is>
          <t>B</t>
        </is>
      </c>
      <c r="H55" s="63" t="inlineStr">
        <is>
          <t>B</t>
        </is>
      </c>
      <c r="I55" s="63" t="inlineStr">
        <is>
          <t>B</t>
        </is>
      </c>
      <c r="J55" s="63" t="inlineStr">
        <is>
          <t>B</t>
        </is>
      </c>
      <c r="K55" s="63" t="inlineStr">
        <is>
          <t>B</t>
        </is>
      </c>
      <c r="L55" s="63" t="inlineStr">
        <is>
          <t>B</t>
        </is>
      </c>
      <c r="M55" s="63" t="inlineStr">
        <is>
          <t>B</t>
        </is>
      </c>
      <c r="N55" s="63" t="inlineStr">
        <is>
          <t>B</t>
        </is>
      </c>
      <c r="O55" s="63" t="inlineStr">
        <is>
          <t>B</t>
        </is>
      </c>
      <c r="P55" s="63" t="inlineStr">
        <is>
          <t>B</t>
        </is>
      </c>
      <c r="Q55" s="114" t="inlineStr">
        <is>
          <t>B</t>
        </is>
      </c>
      <c r="R55" s="63" t="inlineStr">
        <is>
          <t>B</t>
        </is>
      </c>
      <c r="S55" s="63" t="inlineStr">
        <is>
          <t>B</t>
        </is>
      </c>
      <c r="T55" s="63" t="inlineStr">
        <is>
          <t>B</t>
        </is>
      </c>
      <c r="U55" s="63" t="inlineStr">
        <is>
          <t>B</t>
        </is>
      </c>
      <c r="V55" s="63" t="inlineStr">
        <is>
          <t>B</t>
        </is>
      </c>
      <c r="W55" s="63" t="inlineStr">
        <is>
          <t>B</t>
        </is>
      </c>
      <c r="X55" s="63" t="inlineStr">
        <is>
          <t>B</t>
        </is>
      </c>
      <c r="Y55" s="63" t="inlineStr">
        <is>
          <t>B</t>
        </is>
      </c>
      <c r="Z55" s="63" t="inlineStr">
        <is>
          <t>B</t>
        </is>
      </c>
      <c r="AA55" s="85">
        <f>IFERROR(VALUE(TRIM(LEFT($E55,SEARCH("x",$E55)-1))),"")</f>
        <v/>
      </c>
      <c r="AB55" s="73">
        <f>IFERROR(VALUE(TRIM(MID($E55,SEARCH("x",$E55)+1,10))),"")</f>
        <v/>
      </c>
      <c r="AC55" s="68">
        <f>IF(OR($AA55="",$AB55=""),"",IF($AA55&gt;$AB55,"A",IF($AA55&lt;$AB55,"B","E")))</f>
        <v/>
      </c>
      <c r="AD55" s="53" t="n"/>
    </row>
    <row r="56" ht="15.75" customHeight="1" thickBot="1">
      <c r="A56" s="161" t="n">
        <v>46198</v>
      </c>
      <c r="B56" s="23" t="inlineStr">
        <is>
          <t>Turquia x Estados Unidos</t>
        </is>
      </c>
      <c r="C56" s="35">
        <f>TRIM(LEFT(B56,FIND(" x ",B56)-1))</f>
        <v/>
      </c>
      <c r="D56" s="35">
        <f>TRIM(MID(B56,FIND(" x ",B56)+3,100))</f>
        <v/>
      </c>
      <c r="E56" s="43" t="inlineStr">
        <is>
          <t>3x2</t>
        </is>
      </c>
      <c r="F56" s="176" t="n"/>
      <c r="G56" s="116" t="inlineStr">
        <is>
          <t>B</t>
        </is>
      </c>
      <c r="H56" s="54" t="inlineStr">
        <is>
          <t>B</t>
        </is>
      </c>
      <c r="I56" s="54" t="inlineStr">
        <is>
          <t>B</t>
        </is>
      </c>
      <c r="J56" s="54" t="inlineStr">
        <is>
          <t>B</t>
        </is>
      </c>
      <c r="K56" s="54" t="inlineStr">
        <is>
          <t>B</t>
        </is>
      </c>
      <c r="L56" s="54" t="inlineStr">
        <is>
          <t>B</t>
        </is>
      </c>
      <c r="M56" s="54" t="inlineStr">
        <is>
          <t>B</t>
        </is>
      </c>
      <c r="N56" s="54" t="inlineStr">
        <is>
          <t>B</t>
        </is>
      </c>
      <c r="O56" s="54" t="inlineStr">
        <is>
          <t>B</t>
        </is>
      </c>
      <c r="P56" s="54" t="inlineStr">
        <is>
          <t>B</t>
        </is>
      </c>
      <c r="Q56" s="54" t="inlineStr">
        <is>
          <t>B</t>
        </is>
      </c>
      <c r="R56" s="54" t="inlineStr">
        <is>
          <t>B</t>
        </is>
      </c>
      <c r="S56" s="54" t="inlineStr">
        <is>
          <t>B</t>
        </is>
      </c>
      <c r="T56" s="54" t="inlineStr">
        <is>
          <t>E</t>
        </is>
      </c>
      <c r="U56" s="54" t="inlineStr">
        <is>
          <t>B</t>
        </is>
      </c>
      <c r="V56" s="54" t="inlineStr">
        <is>
          <t>B</t>
        </is>
      </c>
      <c r="W56" s="54" t="inlineStr">
        <is>
          <t>B</t>
        </is>
      </c>
      <c r="X56" s="54" t="inlineStr">
        <is>
          <t>B</t>
        </is>
      </c>
      <c r="Y56" s="54" t="inlineStr">
        <is>
          <t>B</t>
        </is>
      </c>
      <c r="Z56" s="54" t="inlineStr">
        <is>
          <t>B</t>
        </is>
      </c>
      <c r="AA56" s="85">
        <f>IFERROR(VALUE(TRIM(LEFT($E56,SEARCH("x",$E56)-1))),"")</f>
        <v/>
      </c>
      <c r="AB56" s="73">
        <f>IFERROR(VALUE(TRIM(MID($E56,SEARCH("x",$E56)+1,10))),"")</f>
        <v/>
      </c>
      <c r="AC56" s="68">
        <f>IF(OR($AA56="",$AB56=""),"",IF($AA56&gt;$AB56,"A",IF($AA56&lt;$AB56,"B","E")))</f>
        <v/>
      </c>
      <c r="AD56" s="53" t="n"/>
    </row>
    <row r="57" ht="15.75" customHeight="1" thickBot="1">
      <c r="A57" s="178" t="n"/>
      <c r="B57" s="24" t="inlineStr">
        <is>
          <t>Paraguai x Austrália</t>
        </is>
      </c>
      <c r="C57" s="36">
        <f>TRIM(LEFT(B57,FIND(" x ",B57)-1))</f>
        <v/>
      </c>
      <c r="D57" s="36">
        <f>TRIM(MID(B57,FIND(" x ",B57)+3,100))</f>
        <v/>
      </c>
      <c r="E57" s="46" t="inlineStr">
        <is>
          <t>0x0</t>
        </is>
      </c>
      <c r="F57" s="176" t="n"/>
      <c r="G57" s="86" t="inlineStr">
        <is>
          <t>B</t>
        </is>
      </c>
      <c r="H57" s="60" t="inlineStr">
        <is>
          <t>A</t>
        </is>
      </c>
      <c r="I57" s="60" t="inlineStr">
        <is>
          <t>E</t>
        </is>
      </c>
      <c r="J57" s="60" t="inlineStr">
        <is>
          <t>E</t>
        </is>
      </c>
      <c r="K57" s="60" t="inlineStr">
        <is>
          <t>A</t>
        </is>
      </c>
      <c r="L57" s="60" t="inlineStr">
        <is>
          <t>A</t>
        </is>
      </c>
      <c r="M57" s="60" t="inlineStr">
        <is>
          <t>A</t>
        </is>
      </c>
      <c r="N57" s="60" t="inlineStr">
        <is>
          <t>E</t>
        </is>
      </c>
      <c r="O57" s="60" t="inlineStr">
        <is>
          <t>A</t>
        </is>
      </c>
      <c r="P57" s="60" t="inlineStr">
        <is>
          <t>B</t>
        </is>
      </c>
      <c r="Q57" s="60" t="inlineStr">
        <is>
          <t>A</t>
        </is>
      </c>
      <c r="R57" s="60" t="inlineStr">
        <is>
          <t>E</t>
        </is>
      </c>
      <c r="S57" s="60" t="inlineStr">
        <is>
          <t>E</t>
        </is>
      </c>
      <c r="T57" s="60" t="inlineStr">
        <is>
          <t>E</t>
        </is>
      </c>
      <c r="U57" s="60" t="inlineStr">
        <is>
          <t>A</t>
        </is>
      </c>
      <c r="V57" s="60" t="inlineStr">
        <is>
          <t>A</t>
        </is>
      </c>
      <c r="W57" s="60" t="inlineStr">
        <is>
          <t>A</t>
        </is>
      </c>
      <c r="X57" s="60" t="inlineStr">
        <is>
          <t>A</t>
        </is>
      </c>
      <c r="Y57" s="60" t="inlineStr">
        <is>
          <t>E</t>
        </is>
      </c>
      <c r="Z57" s="60" t="inlineStr">
        <is>
          <t>E</t>
        </is>
      </c>
      <c r="AA57" s="85">
        <f>IFERROR(VALUE(TRIM(LEFT($E57,SEARCH("x",$E57)-1))),"")</f>
        <v/>
      </c>
      <c r="AB57" s="73">
        <f>IFERROR(VALUE(TRIM(MID($E57,SEARCH("x",$E57)+1,10))),"")</f>
        <v/>
      </c>
      <c r="AC57" s="68">
        <f>IF(OR($AA57="",$AB57=""),"",IF($AA57&gt;$AB57,"A",IF($AA57&lt;$AB57,"B","E")))</f>
        <v/>
      </c>
      <c r="AD57" s="53" t="n"/>
    </row>
    <row r="58" ht="15.75" customHeight="1" thickBot="1">
      <c r="A58" s="178" t="n"/>
      <c r="B58" s="25" t="inlineStr">
        <is>
          <t>Curaçao x Costa do Marfim</t>
        </is>
      </c>
      <c r="C58" s="37">
        <f>TRIM(LEFT(B58,FIND(" x ",B58)-1))</f>
        <v/>
      </c>
      <c r="D58" s="37">
        <f>TRIM(MID(B58,FIND(" x ",B58)+3,100))</f>
        <v/>
      </c>
      <c r="E58" s="47" t="inlineStr">
        <is>
          <t>0x2</t>
        </is>
      </c>
      <c r="F58" s="176" t="n"/>
      <c r="G58" s="86" t="inlineStr">
        <is>
          <t>B</t>
        </is>
      </c>
      <c r="H58" s="60" t="inlineStr">
        <is>
          <t>B</t>
        </is>
      </c>
      <c r="I58" s="60" t="inlineStr">
        <is>
          <t>B</t>
        </is>
      </c>
      <c r="J58" s="60" t="inlineStr">
        <is>
          <t>B</t>
        </is>
      </c>
      <c r="K58" s="60" t="inlineStr">
        <is>
          <t>B</t>
        </is>
      </c>
      <c r="L58" s="60" t="inlineStr">
        <is>
          <t>B</t>
        </is>
      </c>
      <c r="M58" s="60" t="inlineStr">
        <is>
          <t>B</t>
        </is>
      </c>
      <c r="N58" s="60" t="inlineStr">
        <is>
          <t>B</t>
        </is>
      </c>
      <c r="O58" s="60" t="inlineStr">
        <is>
          <t>B</t>
        </is>
      </c>
      <c r="P58" s="60" t="inlineStr">
        <is>
          <t>B</t>
        </is>
      </c>
      <c r="Q58" s="60" t="inlineStr">
        <is>
          <t>E</t>
        </is>
      </c>
      <c r="R58" s="60" t="inlineStr">
        <is>
          <t>B</t>
        </is>
      </c>
      <c r="S58" s="60" t="inlineStr">
        <is>
          <t>B</t>
        </is>
      </c>
      <c r="T58" s="60" t="inlineStr">
        <is>
          <t>B</t>
        </is>
      </c>
      <c r="U58" s="60" t="inlineStr">
        <is>
          <t>B</t>
        </is>
      </c>
      <c r="V58" s="60" t="inlineStr">
        <is>
          <t>B</t>
        </is>
      </c>
      <c r="W58" s="60" t="inlineStr">
        <is>
          <t>E</t>
        </is>
      </c>
      <c r="X58" s="60" t="inlineStr">
        <is>
          <t>B</t>
        </is>
      </c>
      <c r="Y58" s="60" t="inlineStr">
        <is>
          <t>B</t>
        </is>
      </c>
      <c r="Z58" s="60" t="inlineStr">
        <is>
          <t>E</t>
        </is>
      </c>
      <c r="AA58" s="85">
        <f>IFERROR(VALUE(TRIM(LEFT($E58,SEARCH("x",$E58)-1))),"")</f>
        <v/>
      </c>
      <c r="AB58" s="73">
        <f>IFERROR(VALUE(TRIM(MID($E58,SEARCH("x",$E58)+1,10))),"")</f>
        <v/>
      </c>
      <c r="AC58" s="68">
        <f>IF(OR($AA58="",$AB58=""),"",IF($AA58&gt;$AB58,"A",IF($AA58&lt;$AB58,"B","E")))</f>
        <v/>
      </c>
      <c r="AD58" s="53" t="n"/>
    </row>
    <row r="59" ht="15.75" customHeight="1" thickBot="1">
      <c r="A59" s="178" t="n"/>
      <c r="B59" s="25" t="inlineStr">
        <is>
          <t>Equador x Alemanha</t>
        </is>
      </c>
      <c r="C59" s="37">
        <f>TRIM(LEFT(B59,FIND(" x ",B59)-1))</f>
        <v/>
      </c>
      <c r="D59" s="37">
        <f>TRIM(MID(B59,FIND(" x ",B59)+3,100))</f>
        <v/>
      </c>
      <c r="E59" s="47" t="inlineStr">
        <is>
          <t>2x1</t>
        </is>
      </c>
      <c r="F59" s="176" t="n"/>
      <c r="G59" s="86" t="inlineStr">
        <is>
          <t>B</t>
        </is>
      </c>
      <c r="H59" s="60" t="inlineStr">
        <is>
          <t>B</t>
        </is>
      </c>
      <c r="I59" s="60" t="inlineStr">
        <is>
          <t>B</t>
        </is>
      </c>
      <c r="J59" s="60" t="inlineStr">
        <is>
          <t>B</t>
        </is>
      </c>
      <c r="K59" s="60" t="inlineStr">
        <is>
          <t>B</t>
        </is>
      </c>
      <c r="L59" s="60" t="inlineStr">
        <is>
          <t>B</t>
        </is>
      </c>
      <c r="M59" s="60" t="inlineStr">
        <is>
          <t>B</t>
        </is>
      </c>
      <c r="N59" s="60" t="inlineStr">
        <is>
          <t>B</t>
        </is>
      </c>
      <c r="O59" s="60" t="inlineStr">
        <is>
          <t>B</t>
        </is>
      </c>
      <c r="P59" s="60" t="inlineStr">
        <is>
          <t>B</t>
        </is>
      </c>
      <c r="Q59" s="60" t="inlineStr">
        <is>
          <t>B</t>
        </is>
      </c>
      <c r="R59" s="60" t="inlineStr">
        <is>
          <t>A</t>
        </is>
      </c>
      <c r="S59" s="60" t="inlineStr">
        <is>
          <t>B</t>
        </is>
      </c>
      <c r="T59" s="60" t="inlineStr">
        <is>
          <t>B</t>
        </is>
      </c>
      <c r="U59" s="60" t="inlineStr">
        <is>
          <t>B</t>
        </is>
      </c>
      <c r="V59" s="60" t="inlineStr">
        <is>
          <t>B</t>
        </is>
      </c>
      <c r="W59" s="60" t="inlineStr">
        <is>
          <t>B</t>
        </is>
      </c>
      <c r="X59" s="60" t="inlineStr">
        <is>
          <t>B</t>
        </is>
      </c>
      <c r="Y59" s="60" t="inlineStr">
        <is>
          <t>B</t>
        </is>
      </c>
      <c r="Z59" s="60" t="inlineStr">
        <is>
          <t>B</t>
        </is>
      </c>
      <c r="AA59" s="85">
        <f>IFERROR(VALUE(TRIM(LEFT($E59,SEARCH("x",$E59)-1))),"")</f>
        <v/>
      </c>
      <c r="AB59" s="73">
        <f>IFERROR(VALUE(TRIM(MID($E59,SEARCH("x",$E59)+1,10))),"")</f>
        <v/>
      </c>
      <c r="AC59" s="68">
        <f>IF(OR($AA59="",$AB59=""),"",IF($AA59&gt;$AB59,"A",IF($AA59&lt;$AB59,"B","E")))</f>
        <v/>
      </c>
      <c r="AD59" s="53" t="n"/>
    </row>
    <row r="60" ht="15.75" customHeight="1" thickBot="1">
      <c r="A60" s="178" t="n"/>
      <c r="B60" s="25" t="inlineStr">
        <is>
          <t>Tunísia x Países Baixos</t>
        </is>
      </c>
      <c r="C60" s="37">
        <f>TRIM(LEFT(B60,FIND(" x ",B60)-1))</f>
        <v/>
      </c>
      <c r="D60" s="37">
        <f>TRIM(MID(B60,FIND(" x ",B60)+3,100))</f>
        <v/>
      </c>
      <c r="E60" s="47" t="inlineStr">
        <is>
          <t>1x3</t>
        </is>
      </c>
      <c r="F60" s="176" t="n"/>
      <c r="G60" s="114" t="inlineStr">
        <is>
          <t>B</t>
        </is>
      </c>
      <c r="H60" s="63" t="inlineStr">
        <is>
          <t>B</t>
        </is>
      </c>
      <c r="I60" s="63" t="inlineStr">
        <is>
          <t>B</t>
        </is>
      </c>
      <c r="J60" s="63" t="inlineStr">
        <is>
          <t>B</t>
        </is>
      </c>
      <c r="K60" s="63" t="inlineStr">
        <is>
          <t>B</t>
        </is>
      </c>
      <c r="L60" s="63" t="inlineStr">
        <is>
          <t>B</t>
        </is>
      </c>
      <c r="M60" s="63" t="inlineStr">
        <is>
          <t>B</t>
        </is>
      </c>
      <c r="N60" s="63" t="inlineStr">
        <is>
          <t>B</t>
        </is>
      </c>
      <c r="O60" s="63" t="inlineStr">
        <is>
          <t>B</t>
        </is>
      </c>
      <c r="P60" s="63" t="inlineStr">
        <is>
          <t>B</t>
        </is>
      </c>
      <c r="Q60" s="63" t="inlineStr">
        <is>
          <t>B</t>
        </is>
      </c>
      <c r="R60" s="63" t="inlineStr">
        <is>
          <t>B</t>
        </is>
      </c>
      <c r="S60" s="63" t="inlineStr">
        <is>
          <t>B</t>
        </is>
      </c>
      <c r="T60" s="63" t="inlineStr">
        <is>
          <t>B</t>
        </is>
      </c>
      <c r="U60" s="63" t="inlineStr">
        <is>
          <t>B</t>
        </is>
      </c>
      <c r="V60" s="63" t="inlineStr">
        <is>
          <t>B</t>
        </is>
      </c>
      <c r="W60" s="63" t="inlineStr">
        <is>
          <t>B</t>
        </is>
      </c>
      <c r="X60" s="63" t="inlineStr">
        <is>
          <t>B</t>
        </is>
      </c>
      <c r="Y60" s="63" t="inlineStr">
        <is>
          <t>B</t>
        </is>
      </c>
      <c r="Z60" s="63" t="inlineStr">
        <is>
          <t>B</t>
        </is>
      </c>
      <c r="AA60" s="85">
        <f>IFERROR(VALUE(TRIM(LEFT($E60,SEARCH("x",$E60)-1))),"")</f>
        <v/>
      </c>
      <c r="AB60" s="73">
        <f>IFERROR(VALUE(TRIM(MID($E60,SEARCH("x",$E60)+1,10))),"")</f>
        <v/>
      </c>
      <c r="AC60" s="68">
        <f>IF(OR($AA60="",$AB60=""),"",IF($AA60&gt;$AB60,"A",IF($AA60&lt;$AB60,"B","E")))</f>
        <v/>
      </c>
      <c r="AD60" s="53" t="n"/>
    </row>
    <row r="61" ht="15.75" customHeight="1" thickBot="1">
      <c r="A61" s="177" t="n"/>
      <c r="B61" s="26" t="inlineStr">
        <is>
          <t>Japão x Suécia</t>
        </is>
      </c>
      <c r="C61" s="38">
        <f>TRIM(LEFT(B61,FIND(" x ",B61)-1))</f>
        <v/>
      </c>
      <c r="D61" s="38">
        <f>TRIM(MID(B61,FIND(" x ",B61)+3,100))</f>
        <v/>
      </c>
      <c r="E61" s="43" t="inlineStr">
        <is>
          <t>1x1</t>
        </is>
      </c>
      <c r="F61" s="176" t="n"/>
      <c r="G61" s="115" t="inlineStr">
        <is>
          <t>A</t>
        </is>
      </c>
      <c r="H61" s="96" t="inlineStr">
        <is>
          <t>A</t>
        </is>
      </c>
      <c r="I61" s="96" t="inlineStr">
        <is>
          <t>A</t>
        </is>
      </c>
      <c r="J61" s="96" t="inlineStr">
        <is>
          <t>A</t>
        </is>
      </c>
      <c r="K61" s="96" t="inlineStr">
        <is>
          <t>A</t>
        </is>
      </c>
      <c r="L61" s="96" t="inlineStr">
        <is>
          <t>A</t>
        </is>
      </c>
      <c r="M61" s="96" t="inlineStr">
        <is>
          <t>A</t>
        </is>
      </c>
      <c r="N61" s="96" t="inlineStr">
        <is>
          <t>A</t>
        </is>
      </c>
      <c r="O61" s="96" t="inlineStr">
        <is>
          <t>A</t>
        </is>
      </c>
      <c r="P61" s="96" t="inlineStr">
        <is>
          <t>A</t>
        </is>
      </c>
      <c r="Q61" s="96" t="inlineStr">
        <is>
          <t>A</t>
        </is>
      </c>
      <c r="R61" s="96" t="inlineStr">
        <is>
          <t>A</t>
        </is>
      </c>
      <c r="S61" s="96" t="inlineStr">
        <is>
          <t>A</t>
        </is>
      </c>
      <c r="T61" s="96" t="inlineStr">
        <is>
          <t>E</t>
        </is>
      </c>
      <c r="U61" s="96" t="inlineStr">
        <is>
          <t>A</t>
        </is>
      </c>
      <c r="V61" s="96" t="inlineStr">
        <is>
          <t>A</t>
        </is>
      </c>
      <c r="W61" s="96" t="inlineStr">
        <is>
          <t>B</t>
        </is>
      </c>
      <c r="X61" s="96" t="inlineStr">
        <is>
          <t>A</t>
        </is>
      </c>
      <c r="Y61" s="96" t="inlineStr">
        <is>
          <t>A</t>
        </is>
      </c>
      <c r="Z61" s="96" t="inlineStr">
        <is>
          <t>A</t>
        </is>
      </c>
      <c r="AA61" s="85">
        <f>IFERROR(VALUE(TRIM(LEFT($E61,SEARCH("x",$E61)-1))),"")</f>
        <v/>
      </c>
      <c r="AB61" s="73">
        <f>IFERROR(VALUE(TRIM(MID($E61,SEARCH("x",$E61)+1,10))),"")</f>
        <v/>
      </c>
      <c r="AC61" s="68">
        <f>IF(OR($AA61="",$AB61=""),"",IF($AA61&gt;$AB61,"A",IF($AA61&lt;$AB61,"B","E")))</f>
        <v/>
      </c>
      <c r="AD61" s="53" t="n"/>
    </row>
    <row r="62" ht="15.75" customHeight="1" thickBot="1">
      <c r="A62" s="165" t="n">
        <v>46199</v>
      </c>
      <c r="B62" s="21" t="inlineStr">
        <is>
          <t>Nova Zelândia x Bélgica</t>
        </is>
      </c>
      <c r="C62" s="33">
        <f>TRIM(LEFT(B62,FIND(" x ",B62)-1))</f>
        <v/>
      </c>
      <c r="D62" s="33">
        <f>TRIM(MID(B62,FIND(" x ",B62)+3,100))</f>
        <v/>
      </c>
      <c r="E62" s="45" t="inlineStr">
        <is>
          <t>1x5</t>
        </is>
      </c>
      <c r="F62" s="176" t="n"/>
      <c r="G62" s="111" t="inlineStr">
        <is>
          <t>B</t>
        </is>
      </c>
      <c r="H62" s="65" t="inlineStr">
        <is>
          <t>E</t>
        </is>
      </c>
      <c r="I62" s="65" t="inlineStr">
        <is>
          <t>B</t>
        </is>
      </c>
      <c r="J62" s="65" t="inlineStr">
        <is>
          <t>B</t>
        </is>
      </c>
      <c r="K62" s="65" t="inlineStr">
        <is>
          <t>B</t>
        </is>
      </c>
      <c r="L62" s="65" t="inlineStr">
        <is>
          <t>B</t>
        </is>
      </c>
      <c r="M62" s="65" t="inlineStr">
        <is>
          <t>B</t>
        </is>
      </c>
      <c r="N62" s="65" t="inlineStr">
        <is>
          <t>B</t>
        </is>
      </c>
      <c r="O62" s="65" t="inlineStr">
        <is>
          <t>B</t>
        </is>
      </c>
      <c r="P62" s="65" t="inlineStr">
        <is>
          <t>B</t>
        </is>
      </c>
      <c r="Q62" s="65" t="inlineStr">
        <is>
          <t>B</t>
        </is>
      </c>
      <c r="R62" s="65" t="inlineStr">
        <is>
          <t>E</t>
        </is>
      </c>
      <c r="S62" s="65" t="inlineStr">
        <is>
          <t>B</t>
        </is>
      </c>
      <c r="T62" s="65" t="inlineStr">
        <is>
          <t>B</t>
        </is>
      </c>
      <c r="U62" s="65" t="inlineStr">
        <is>
          <t>B</t>
        </is>
      </c>
      <c r="V62" s="65" t="inlineStr">
        <is>
          <t>B</t>
        </is>
      </c>
      <c r="W62" s="65" t="inlineStr">
        <is>
          <t>B</t>
        </is>
      </c>
      <c r="X62" s="65" t="inlineStr">
        <is>
          <t>B</t>
        </is>
      </c>
      <c r="Y62" s="65" t="inlineStr">
        <is>
          <t>B</t>
        </is>
      </c>
      <c r="Z62" s="65" t="inlineStr">
        <is>
          <t>B</t>
        </is>
      </c>
      <c r="AA62" s="85">
        <f>IFERROR(VALUE(TRIM(LEFT($E62,SEARCH("x",$E62)-1))),"")</f>
        <v/>
      </c>
      <c r="AB62" s="73">
        <f>IFERROR(VALUE(TRIM(MID($E62,SEARCH("x",$E62)+1,10))),"")</f>
        <v/>
      </c>
      <c r="AC62" s="68">
        <f>IF(OR($AA62="",$AB62=""),"",IF($AA62&gt;$AB62,"A",IF($AA62&lt;$AB62,"B","E")))</f>
        <v/>
      </c>
      <c r="AD62" s="53" t="n"/>
    </row>
    <row r="63" ht="15.75" customHeight="1" thickBot="1">
      <c r="A63" s="178" t="n"/>
      <c r="B63" s="27" t="inlineStr">
        <is>
          <t>Egito x Irã</t>
        </is>
      </c>
      <c r="C63" s="39">
        <f>TRIM(LEFT(B63,FIND(" x ",B63)-1))</f>
        <v/>
      </c>
      <c r="D63" s="39">
        <f>TRIM(MID(B63,FIND(" x ",B63)+3,100))</f>
        <v/>
      </c>
      <c r="E63" s="49" t="inlineStr">
        <is>
          <t>1x1</t>
        </is>
      </c>
      <c r="F63" s="176" t="n"/>
      <c r="G63" s="86" t="inlineStr">
        <is>
          <t>A</t>
        </is>
      </c>
      <c r="H63" s="60" t="inlineStr">
        <is>
          <t>A</t>
        </is>
      </c>
      <c r="I63" s="60" t="inlineStr">
        <is>
          <t>A</t>
        </is>
      </c>
      <c r="J63" s="60" t="inlineStr">
        <is>
          <t>A</t>
        </is>
      </c>
      <c r="K63" s="60" t="inlineStr">
        <is>
          <t>A</t>
        </is>
      </c>
      <c r="L63" s="60" t="inlineStr">
        <is>
          <t>A</t>
        </is>
      </c>
      <c r="M63" s="60" t="inlineStr">
        <is>
          <t>A</t>
        </is>
      </c>
      <c r="N63" s="60" t="inlineStr">
        <is>
          <t>A</t>
        </is>
      </c>
      <c r="O63" s="60" t="inlineStr">
        <is>
          <t>A</t>
        </is>
      </c>
      <c r="P63" s="60" t="inlineStr">
        <is>
          <t>A</t>
        </is>
      </c>
      <c r="Q63" s="60" t="inlineStr">
        <is>
          <t>E</t>
        </is>
      </c>
      <c r="R63" s="60" t="inlineStr">
        <is>
          <t>E</t>
        </is>
      </c>
      <c r="S63" s="60" t="inlineStr">
        <is>
          <t>E</t>
        </is>
      </c>
      <c r="T63" s="60" t="inlineStr">
        <is>
          <t>A</t>
        </is>
      </c>
      <c r="U63" s="60" t="inlineStr">
        <is>
          <t>A</t>
        </is>
      </c>
      <c r="V63" s="60" t="inlineStr">
        <is>
          <t>A</t>
        </is>
      </c>
      <c r="W63" s="60" t="inlineStr">
        <is>
          <t>A</t>
        </is>
      </c>
      <c r="X63" s="60" t="inlineStr">
        <is>
          <t>E</t>
        </is>
      </c>
      <c r="Y63" s="60" t="inlineStr">
        <is>
          <t>A</t>
        </is>
      </c>
      <c r="Z63" s="60" t="inlineStr">
        <is>
          <t>A</t>
        </is>
      </c>
      <c r="AA63" s="85">
        <f>IFERROR(VALUE(TRIM(LEFT($E63,SEARCH("x",$E63)-1))),"")</f>
        <v/>
      </c>
      <c r="AB63" s="73">
        <f>IFERROR(VALUE(TRIM(MID($E63,SEARCH("x",$E63)+1,10))),"")</f>
        <v/>
      </c>
      <c r="AC63" s="68">
        <f>IF(OR($AA63="",$AB63=""),"",IF($AA63&gt;$AB63,"A",IF($AA63&lt;$AB63,"B","E")))</f>
        <v/>
      </c>
      <c r="AD63" s="53" t="n"/>
    </row>
    <row r="64" ht="15.75" customHeight="1" thickBot="1">
      <c r="A64" s="178" t="n"/>
      <c r="B64" s="28" t="inlineStr">
        <is>
          <t>Cabo Verde x Arábia Saudita</t>
        </is>
      </c>
      <c r="C64" s="40">
        <f>TRIM(LEFT(B64,FIND(" x ",B64)-1))</f>
        <v/>
      </c>
      <c r="D64" s="40">
        <f>TRIM(MID(B64,FIND(" x ",B64)+3,100))</f>
        <v/>
      </c>
      <c r="E64" s="50" t="inlineStr">
        <is>
          <t>0x0</t>
        </is>
      </c>
      <c r="F64" s="176" t="n"/>
      <c r="G64" s="86" t="inlineStr">
        <is>
          <t>A</t>
        </is>
      </c>
      <c r="H64" s="60" t="inlineStr">
        <is>
          <t>E</t>
        </is>
      </c>
      <c r="I64" s="60" t="inlineStr">
        <is>
          <t>A</t>
        </is>
      </c>
      <c r="J64" s="60" t="inlineStr">
        <is>
          <t>E</t>
        </is>
      </c>
      <c r="K64" s="60" t="inlineStr">
        <is>
          <t>E</t>
        </is>
      </c>
      <c r="L64" s="60" t="inlineStr">
        <is>
          <t>A</t>
        </is>
      </c>
      <c r="M64" s="60" t="inlineStr">
        <is>
          <t>B</t>
        </is>
      </c>
      <c r="N64" s="60" t="inlineStr">
        <is>
          <t>A</t>
        </is>
      </c>
      <c r="O64" s="60" t="inlineStr">
        <is>
          <t>B</t>
        </is>
      </c>
      <c r="P64" s="60" t="inlineStr">
        <is>
          <t>A</t>
        </is>
      </c>
      <c r="Q64" s="60" t="inlineStr">
        <is>
          <t>B</t>
        </is>
      </c>
      <c r="R64" s="60" t="inlineStr">
        <is>
          <t>E</t>
        </is>
      </c>
      <c r="S64" s="60" t="inlineStr">
        <is>
          <t>A</t>
        </is>
      </c>
      <c r="T64" s="60" t="inlineStr">
        <is>
          <t>B</t>
        </is>
      </c>
      <c r="U64" s="60" t="inlineStr">
        <is>
          <t>A</t>
        </is>
      </c>
      <c r="V64" s="60" t="inlineStr">
        <is>
          <t>B</t>
        </is>
      </c>
      <c r="W64" s="60" t="inlineStr">
        <is>
          <t>E</t>
        </is>
      </c>
      <c r="X64" s="60" t="inlineStr">
        <is>
          <t>A</t>
        </is>
      </c>
      <c r="Y64" s="60" t="inlineStr">
        <is>
          <t>A</t>
        </is>
      </c>
      <c r="Z64" s="60" t="inlineStr">
        <is>
          <t>A</t>
        </is>
      </c>
      <c r="AA64" s="85">
        <f>IFERROR(VALUE(TRIM(LEFT($E64,SEARCH("x",$E64)-1))),"")</f>
        <v/>
      </c>
      <c r="AB64" s="73">
        <f>IFERROR(VALUE(TRIM(MID($E64,SEARCH("x",$E64)+1,10))),"")</f>
        <v/>
      </c>
      <c r="AC64" s="68">
        <f>IF(OR($AA64="",$AB64=""),"",IF($AA64&gt;$AB64,"A",IF($AA64&lt;$AB64,"B","E")))</f>
        <v/>
      </c>
      <c r="AD64" s="53" t="n"/>
    </row>
    <row r="65" ht="15.75" customHeight="1" thickBot="1">
      <c r="A65" s="178" t="n"/>
      <c r="B65" s="28" t="inlineStr">
        <is>
          <t>Uruguai x Espanha</t>
        </is>
      </c>
      <c r="C65" s="40">
        <f>TRIM(LEFT(B65,FIND(" x ",B65)-1))</f>
        <v/>
      </c>
      <c r="D65" s="40">
        <f>TRIM(MID(B65,FIND(" x ",B65)+3,100))</f>
        <v/>
      </c>
      <c r="E65" s="50" t="inlineStr">
        <is>
          <t>0x1</t>
        </is>
      </c>
      <c r="F65" s="176" t="n"/>
      <c r="G65" s="86" t="inlineStr">
        <is>
          <t>A</t>
        </is>
      </c>
      <c r="H65" s="60" t="inlineStr">
        <is>
          <t>B</t>
        </is>
      </c>
      <c r="I65" s="60" t="inlineStr">
        <is>
          <t>B</t>
        </is>
      </c>
      <c r="J65" s="60" t="inlineStr">
        <is>
          <t>B</t>
        </is>
      </c>
      <c r="K65" s="60" t="inlineStr">
        <is>
          <t>B</t>
        </is>
      </c>
      <c r="L65" s="60" t="inlineStr">
        <is>
          <t>B</t>
        </is>
      </c>
      <c r="M65" s="60" t="inlineStr">
        <is>
          <t>B</t>
        </is>
      </c>
      <c r="N65" s="60" t="inlineStr">
        <is>
          <t>B</t>
        </is>
      </c>
      <c r="O65" s="60" t="inlineStr">
        <is>
          <t>E</t>
        </is>
      </c>
      <c r="P65" s="60" t="inlineStr">
        <is>
          <t>B</t>
        </is>
      </c>
      <c r="Q65" s="60" t="inlineStr">
        <is>
          <t>B</t>
        </is>
      </c>
      <c r="R65" s="60" t="inlineStr">
        <is>
          <t>E</t>
        </is>
      </c>
      <c r="S65" s="60" t="inlineStr">
        <is>
          <t>E</t>
        </is>
      </c>
      <c r="T65" s="60" t="inlineStr">
        <is>
          <t>E</t>
        </is>
      </c>
      <c r="U65" s="60" t="inlineStr">
        <is>
          <t>B</t>
        </is>
      </c>
      <c r="V65" s="60" t="inlineStr">
        <is>
          <t>B</t>
        </is>
      </c>
      <c r="W65" s="60" t="inlineStr">
        <is>
          <t>A</t>
        </is>
      </c>
      <c r="X65" s="60" t="inlineStr">
        <is>
          <t>A</t>
        </is>
      </c>
      <c r="Y65" s="60" t="inlineStr">
        <is>
          <t>E</t>
        </is>
      </c>
      <c r="Z65" s="60" t="inlineStr">
        <is>
          <t>A</t>
        </is>
      </c>
      <c r="AA65" s="85">
        <f>IFERROR(VALUE(TRIM(LEFT($E65,SEARCH("x",$E65)-1))),"")</f>
        <v/>
      </c>
      <c r="AB65" s="73">
        <f>IFERROR(VALUE(TRIM(MID($E65,SEARCH("x",$E65)+1,10))),"")</f>
        <v/>
      </c>
      <c r="AC65" s="68">
        <f>IF(OR($AA65="",$AB65=""),"",IF($AA65&gt;$AB65,"A",IF($AA65&lt;$AB65,"B","E")))</f>
        <v/>
      </c>
      <c r="AD65" s="53" t="n"/>
    </row>
    <row r="66" ht="15.75" customHeight="1" thickBot="1">
      <c r="A66" s="178" t="n"/>
      <c r="B66" s="28" t="inlineStr">
        <is>
          <t>Noruega x França</t>
        </is>
      </c>
      <c r="C66" s="40">
        <f>TRIM(LEFT(B66,FIND(" x ",B66)-1))</f>
        <v/>
      </c>
      <c r="D66" s="40">
        <f>TRIM(MID(B66,FIND(" x ",B66)+3,100))</f>
        <v/>
      </c>
      <c r="E66" s="50" t="inlineStr">
        <is>
          <t>1x4</t>
        </is>
      </c>
      <c r="F66" s="176" t="n"/>
      <c r="G66" s="114" t="inlineStr">
        <is>
          <t>B</t>
        </is>
      </c>
      <c r="H66" s="63" t="inlineStr">
        <is>
          <t>B</t>
        </is>
      </c>
      <c r="I66" s="63" t="inlineStr">
        <is>
          <t>B</t>
        </is>
      </c>
      <c r="J66" s="63" t="inlineStr">
        <is>
          <t>B</t>
        </is>
      </c>
      <c r="K66" s="63" t="inlineStr">
        <is>
          <t>E</t>
        </is>
      </c>
      <c r="L66" s="63" t="inlineStr">
        <is>
          <t>B</t>
        </is>
      </c>
      <c r="M66" s="63" t="inlineStr">
        <is>
          <t>B</t>
        </is>
      </c>
      <c r="N66" s="63" t="inlineStr">
        <is>
          <t>B</t>
        </is>
      </c>
      <c r="O66" s="63" t="inlineStr">
        <is>
          <t>B</t>
        </is>
      </c>
      <c r="P66" s="63" t="inlineStr">
        <is>
          <t>A</t>
        </is>
      </c>
      <c r="Q66" s="63" t="inlineStr">
        <is>
          <t>B</t>
        </is>
      </c>
      <c r="R66" s="63" t="inlineStr">
        <is>
          <t>B</t>
        </is>
      </c>
      <c r="S66" s="63" t="inlineStr">
        <is>
          <t>B</t>
        </is>
      </c>
      <c r="T66" s="63" t="inlineStr">
        <is>
          <t>B</t>
        </is>
      </c>
      <c r="U66" s="63" t="inlineStr">
        <is>
          <t>B</t>
        </is>
      </c>
      <c r="V66" s="63" t="inlineStr">
        <is>
          <t>B</t>
        </is>
      </c>
      <c r="W66" s="63" t="inlineStr">
        <is>
          <t>A</t>
        </is>
      </c>
      <c r="X66" s="63" t="inlineStr">
        <is>
          <t>B</t>
        </is>
      </c>
      <c r="Y66" s="63" t="inlineStr">
        <is>
          <t>A</t>
        </is>
      </c>
      <c r="Z66" s="63" t="inlineStr">
        <is>
          <t>A</t>
        </is>
      </c>
      <c r="AA66" s="85">
        <f>IFERROR(VALUE(TRIM(LEFT($E66,SEARCH("x",$E66)-1))),"")</f>
        <v/>
      </c>
      <c r="AB66" s="73">
        <f>IFERROR(VALUE(TRIM(MID($E66,SEARCH("x",$E66)+1,10))),"")</f>
        <v/>
      </c>
      <c r="AC66" s="68">
        <f>IF(OR($AA66="",$AB66=""),"",IF($AA66&gt;$AB66,"A",IF($AA66&lt;$AB66,"B","E")))</f>
        <v/>
      </c>
      <c r="AD66" s="53" t="n"/>
    </row>
    <row r="67" ht="15.75" customHeight="1" thickBot="1">
      <c r="A67" s="177" t="n"/>
      <c r="B67" s="29" t="inlineStr">
        <is>
          <t>Senegal x Iraque</t>
        </is>
      </c>
      <c r="C67" s="41">
        <f>TRIM(LEFT(B67,FIND(" x ",B67)-1))</f>
        <v/>
      </c>
      <c r="D67" s="41">
        <f>TRIM(MID(B67,FIND(" x ",B67)+3,100))</f>
        <v/>
      </c>
      <c r="E67" s="51" t="inlineStr">
        <is>
          <t>5x0</t>
        </is>
      </c>
      <c r="F67" s="176" t="n"/>
      <c r="G67" s="115" t="inlineStr">
        <is>
          <t>A</t>
        </is>
      </c>
      <c r="H67" s="96" t="inlineStr">
        <is>
          <t>A</t>
        </is>
      </c>
      <c r="I67" s="96" t="inlineStr">
        <is>
          <t>A</t>
        </is>
      </c>
      <c r="J67" s="96" t="inlineStr">
        <is>
          <t>A</t>
        </is>
      </c>
      <c r="K67" s="96" t="inlineStr">
        <is>
          <t>A</t>
        </is>
      </c>
      <c r="L67" s="96" t="inlineStr">
        <is>
          <t>A</t>
        </is>
      </c>
      <c r="M67" s="96" t="inlineStr">
        <is>
          <t>A</t>
        </is>
      </c>
      <c r="N67" s="96" t="inlineStr">
        <is>
          <t>A</t>
        </is>
      </c>
      <c r="O67" s="96" t="inlineStr">
        <is>
          <t>A</t>
        </is>
      </c>
      <c r="P67" s="96" t="inlineStr">
        <is>
          <t>A</t>
        </is>
      </c>
      <c r="Q67" s="96" t="inlineStr">
        <is>
          <t>B</t>
        </is>
      </c>
      <c r="R67" s="96" t="inlineStr">
        <is>
          <t>E</t>
        </is>
      </c>
      <c r="S67" s="96" t="inlineStr">
        <is>
          <t>A</t>
        </is>
      </c>
      <c r="T67" s="96" t="inlineStr">
        <is>
          <t>A</t>
        </is>
      </c>
      <c r="U67" s="96" t="inlineStr">
        <is>
          <t>A</t>
        </is>
      </c>
      <c r="V67" s="96" t="inlineStr">
        <is>
          <t>A</t>
        </is>
      </c>
      <c r="W67" s="96" t="inlineStr">
        <is>
          <t>A</t>
        </is>
      </c>
      <c r="X67" s="96" t="inlineStr">
        <is>
          <t>A</t>
        </is>
      </c>
      <c r="Y67" s="96" t="inlineStr">
        <is>
          <t>A</t>
        </is>
      </c>
      <c r="Z67" s="96" t="inlineStr">
        <is>
          <t>A</t>
        </is>
      </c>
      <c r="AA67" s="85">
        <f>IFERROR(VALUE(TRIM(LEFT($E67,SEARCH("x",$E67)-1))),"")</f>
        <v/>
      </c>
      <c r="AB67" s="73">
        <f>IFERROR(VALUE(TRIM(MID($E67,SEARCH("x",$E67)+1,10))),"")</f>
        <v/>
      </c>
      <c r="AC67" s="68">
        <f>IF(OR($AA67="",$AB67=""),"",IF($AA67&gt;$AB67,"A",IF($AA67&lt;$AB67,"B","E")))</f>
        <v/>
      </c>
      <c r="AD67" s="53" t="n"/>
    </row>
    <row r="68" ht="15.75" customHeight="1" thickBot="1">
      <c r="A68" s="150" t="n">
        <v>46200</v>
      </c>
      <c r="B68" s="23" t="inlineStr">
        <is>
          <t>Argélia x Áustria</t>
        </is>
      </c>
      <c r="C68" s="35">
        <f>TRIM(LEFT(B68,FIND(" x ",B68)-1))</f>
        <v/>
      </c>
      <c r="D68" s="35">
        <f>TRIM(MID(B68,FIND(" x ",B68)+3,100))</f>
        <v/>
      </c>
      <c r="E68" s="43" t="inlineStr">
        <is>
          <t>3x3</t>
        </is>
      </c>
      <c r="F68" s="176" t="n"/>
      <c r="G68" s="111" t="inlineStr">
        <is>
          <t>E</t>
        </is>
      </c>
      <c r="H68" s="65" t="inlineStr">
        <is>
          <t>A</t>
        </is>
      </c>
      <c r="I68" s="65" t="inlineStr">
        <is>
          <t>B</t>
        </is>
      </c>
      <c r="J68" s="65" t="inlineStr">
        <is>
          <t>B</t>
        </is>
      </c>
      <c r="K68" s="65" t="inlineStr">
        <is>
          <t>B</t>
        </is>
      </c>
      <c r="L68" s="65" t="inlineStr">
        <is>
          <t>B</t>
        </is>
      </c>
      <c r="M68" s="65" t="inlineStr">
        <is>
          <t>A</t>
        </is>
      </c>
      <c r="N68" s="65" t="inlineStr">
        <is>
          <t>B</t>
        </is>
      </c>
      <c r="O68" s="65" t="inlineStr">
        <is>
          <t>B</t>
        </is>
      </c>
      <c r="P68" s="65" t="inlineStr">
        <is>
          <t>B</t>
        </is>
      </c>
      <c r="Q68" s="65" t="inlineStr">
        <is>
          <t>B</t>
        </is>
      </c>
      <c r="R68" s="65" t="inlineStr">
        <is>
          <t>B</t>
        </is>
      </c>
      <c r="S68" s="65" t="inlineStr">
        <is>
          <t>B</t>
        </is>
      </c>
      <c r="T68" s="65" t="inlineStr">
        <is>
          <t>B</t>
        </is>
      </c>
      <c r="U68" s="65" t="inlineStr">
        <is>
          <t>B</t>
        </is>
      </c>
      <c r="V68" s="65" t="inlineStr">
        <is>
          <t>B</t>
        </is>
      </c>
      <c r="W68" s="65" t="inlineStr">
        <is>
          <t>E</t>
        </is>
      </c>
      <c r="X68" s="65" t="inlineStr">
        <is>
          <t>A</t>
        </is>
      </c>
      <c r="Y68" s="65" t="inlineStr">
        <is>
          <t>A</t>
        </is>
      </c>
      <c r="Z68" s="65" t="n"/>
      <c r="AA68" s="85">
        <f>IFERROR(VALUE(TRIM(LEFT($E68,SEARCH("x",$E68)-1))),"")</f>
        <v/>
      </c>
      <c r="AB68" s="73">
        <f>IFERROR(VALUE(TRIM(MID($E68,SEARCH("x",$E68)+1,10))),"")</f>
        <v/>
      </c>
      <c r="AC68" s="68">
        <f>IF(OR($AA68="",$AB68=""),"",IF($AA68&gt;$AB68,"A",IF($AA68&lt;$AB68,"B","E")))</f>
        <v/>
      </c>
      <c r="AD68" s="53" t="n"/>
    </row>
    <row r="69" ht="15.75" customHeight="1" thickBot="1">
      <c r="A69" s="179" t="n"/>
      <c r="B69" s="24" t="inlineStr">
        <is>
          <t>Jordânia x Argentina</t>
        </is>
      </c>
      <c r="C69" s="36">
        <f>TRIM(LEFT(B69,FIND(" x ",B69)-1))</f>
        <v/>
      </c>
      <c r="D69" s="36">
        <f>TRIM(MID(B69,FIND(" x ",B69)+3,100))</f>
        <v/>
      </c>
      <c r="E69" s="46" t="inlineStr">
        <is>
          <t>1x3</t>
        </is>
      </c>
      <c r="F69" s="176" t="n"/>
      <c r="G69" s="86" t="inlineStr">
        <is>
          <t>B</t>
        </is>
      </c>
      <c r="H69" s="60" t="inlineStr">
        <is>
          <t>B</t>
        </is>
      </c>
      <c r="I69" s="60" t="inlineStr">
        <is>
          <t>B</t>
        </is>
      </c>
      <c r="J69" s="60" t="inlineStr">
        <is>
          <t>B</t>
        </is>
      </c>
      <c r="K69" s="60" t="inlineStr">
        <is>
          <t>B</t>
        </is>
      </c>
      <c r="L69" s="60" t="inlineStr">
        <is>
          <t>B</t>
        </is>
      </c>
      <c r="M69" s="60" t="inlineStr">
        <is>
          <t>B</t>
        </is>
      </c>
      <c r="N69" s="60" t="inlineStr">
        <is>
          <t>B</t>
        </is>
      </c>
      <c r="O69" s="60" t="inlineStr">
        <is>
          <t>B</t>
        </is>
      </c>
      <c r="P69" s="60" t="inlineStr">
        <is>
          <t>B</t>
        </is>
      </c>
      <c r="Q69" s="60" t="inlineStr">
        <is>
          <t>B</t>
        </is>
      </c>
      <c r="R69" s="60" t="inlineStr">
        <is>
          <t>B</t>
        </is>
      </c>
      <c r="S69" s="60" t="inlineStr">
        <is>
          <t>B</t>
        </is>
      </c>
      <c r="T69" s="60" t="inlineStr">
        <is>
          <t>B</t>
        </is>
      </c>
      <c r="U69" s="60" t="inlineStr">
        <is>
          <t>B</t>
        </is>
      </c>
      <c r="V69" s="60" t="inlineStr">
        <is>
          <t>B</t>
        </is>
      </c>
      <c r="W69" s="60" t="inlineStr">
        <is>
          <t>B</t>
        </is>
      </c>
      <c r="X69" s="60" t="inlineStr">
        <is>
          <t>B</t>
        </is>
      </c>
      <c r="Y69" s="60" t="inlineStr">
        <is>
          <t>B</t>
        </is>
      </c>
      <c r="Z69" s="60" t="inlineStr">
        <is>
          <t>B</t>
        </is>
      </c>
      <c r="AA69" s="85">
        <f>IFERROR(VALUE(TRIM(LEFT($E69,SEARCH("x",$E69)-1))),"")</f>
        <v/>
      </c>
      <c r="AB69" s="73">
        <f>IFERROR(VALUE(TRIM(MID($E69,SEARCH("x",$E69)+1,10))),"")</f>
        <v/>
      </c>
      <c r="AC69" s="68">
        <f>IF(OR($AA69="",$AB69=""),"",IF($AA69&gt;$AB69,"A",IF($AA69&lt;$AB69,"B","E")))</f>
        <v/>
      </c>
      <c r="AD69" s="53" t="n"/>
    </row>
    <row r="70" ht="15.75" customHeight="1" thickBot="1">
      <c r="A70" s="179" t="n"/>
      <c r="B70" s="25" t="inlineStr">
        <is>
          <t>Colômbia x Portugal</t>
        </is>
      </c>
      <c r="C70" s="37">
        <f>TRIM(LEFT(B70,FIND(" x ",B70)-1))</f>
        <v/>
      </c>
      <c r="D70" s="37">
        <f>TRIM(MID(B70,FIND(" x ",B70)+3,100))</f>
        <v/>
      </c>
      <c r="E70" s="47" t="inlineStr">
        <is>
          <t>0x0</t>
        </is>
      </c>
      <c r="F70" s="176" t="n"/>
      <c r="G70" s="86" t="inlineStr">
        <is>
          <t>B</t>
        </is>
      </c>
      <c r="H70" s="60" t="inlineStr">
        <is>
          <t>E</t>
        </is>
      </c>
      <c r="I70" s="60" t="inlineStr">
        <is>
          <t>B</t>
        </is>
      </c>
      <c r="J70" s="60" t="inlineStr">
        <is>
          <t>B</t>
        </is>
      </c>
      <c r="K70" s="60" t="inlineStr">
        <is>
          <t>B</t>
        </is>
      </c>
      <c r="L70" s="60" t="inlineStr">
        <is>
          <t>B</t>
        </is>
      </c>
      <c r="M70" s="60" t="inlineStr">
        <is>
          <t>B</t>
        </is>
      </c>
      <c r="N70" s="60" t="inlineStr">
        <is>
          <t>B</t>
        </is>
      </c>
      <c r="O70" s="60" t="inlineStr">
        <is>
          <t>B</t>
        </is>
      </c>
      <c r="P70" s="60" t="inlineStr">
        <is>
          <t>A</t>
        </is>
      </c>
      <c r="Q70" s="60" t="inlineStr">
        <is>
          <t>B</t>
        </is>
      </c>
      <c r="R70" s="60" t="inlineStr">
        <is>
          <t>B</t>
        </is>
      </c>
      <c r="S70" s="60" t="inlineStr">
        <is>
          <t>B</t>
        </is>
      </c>
      <c r="T70" s="60" t="inlineStr">
        <is>
          <t>E</t>
        </is>
      </c>
      <c r="U70" s="60" t="inlineStr">
        <is>
          <t>B</t>
        </is>
      </c>
      <c r="V70" s="60" t="inlineStr">
        <is>
          <t>B</t>
        </is>
      </c>
      <c r="W70" s="60" t="inlineStr">
        <is>
          <t>A</t>
        </is>
      </c>
      <c r="X70" s="60" t="inlineStr">
        <is>
          <t>A</t>
        </is>
      </c>
      <c r="Y70" s="60" t="inlineStr">
        <is>
          <t>B</t>
        </is>
      </c>
      <c r="Z70" s="60" t="inlineStr">
        <is>
          <t>B</t>
        </is>
      </c>
      <c r="AA70" s="85">
        <f>IFERROR(VALUE(TRIM(LEFT($E70,SEARCH("x",$E70)-1))),"")</f>
        <v/>
      </c>
      <c r="AB70" s="73">
        <f>IFERROR(VALUE(TRIM(MID($E70,SEARCH("x",$E70)+1,10))),"")</f>
        <v/>
      </c>
      <c r="AC70" s="68">
        <f>IF(OR($AA70="",$AB70=""),"",IF($AA70&gt;$AB70,"A",IF($AA70&lt;$AB70,"B","E")))</f>
        <v/>
      </c>
      <c r="AD70" s="53" t="n"/>
    </row>
    <row r="71" ht="15.75" customHeight="1" thickBot="1">
      <c r="A71" s="179" t="n"/>
      <c r="B71" s="25" t="inlineStr">
        <is>
          <t>Rep. Dem. Congo x Uzbequistão</t>
        </is>
      </c>
      <c r="C71" s="37">
        <f>TRIM(LEFT(B71,FIND(" x ",B71)-1))</f>
        <v/>
      </c>
      <c r="D71" s="37">
        <f>TRIM(MID(B71,FIND(" x ",B71)+3,100))</f>
        <v/>
      </c>
      <c r="E71" s="47" t="inlineStr">
        <is>
          <t>3x1</t>
        </is>
      </c>
      <c r="F71" s="176" t="n"/>
      <c r="G71" s="86" t="inlineStr">
        <is>
          <t>A</t>
        </is>
      </c>
      <c r="H71" s="60" t="inlineStr">
        <is>
          <t>A</t>
        </is>
      </c>
      <c r="I71" s="60" t="inlineStr">
        <is>
          <t>A</t>
        </is>
      </c>
      <c r="J71" s="60" t="inlineStr">
        <is>
          <t>A</t>
        </is>
      </c>
      <c r="K71" s="60" t="inlineStr">
        <is>
          <t>A</t>
        </is>
      </c>
      <c r="L71" s="60" t="inlineStr">
        <is>
          <t>A</t>
        </is>
      </c>
      <c r="M71" s="60" t="inlineStr">
        <is>
          <t>A</t>
        </is>
      </c>
      <c r="N71" s="60" t="inlineStr">
        <is>
          <t>A</t>
        </is>
      </c>
      <c r="O71" s="60" t="inlineStr">
        <is>
          <t>A</t>
        </is>
      </c>
      <c r="P71" s="60" t="inlineStr">
        <is>
          <t>A</t>
        </is>
      </c>
      <c r="Q71" s="60" t="inlineStr">
        <is>
          <t>A</t>
        </is>
      </c>
      <c r="R71" s="60" t="inlineStr">
        <is>
          <t>E</t>
        </is>
      </c>
      <c r="S71" s="60" t="inlineStr">
        <is>
          <t>E</t>
        </is>
      </c>
      <c r="T71" s="60" t="inlineStr">
        <is>
          <t>E</t>
        </is>
      </c>
      <c r="U71" s="60" t="inlineStr">
        <is>
          <t>A</t>
        </is>
      </c>
      <c r="V71" s="60" t="inlineStr">
        <is>
          <t>A</t>
        </is>
      </c>
      <c r="W71" s="60" t="inlineStr">
        <is>
          <t>A</t>
        </is>
      </c>
      <c r="X71" s="60" t="inlineStr">
        <is>
          <t>A</t>
        </is>
      </c>
      <c r="Y71" s="60" t="inlineStr">
        <is>
          <t>A</t>
        </is>
      </c>
      <c r="Z71" s="60" t="inlineStr">
        <is>
          <t>E</t>
        </is>
      </c>
      <c r="AA71" s="85">
        <f>IFERROR(VALUE(TRIM(LEFT($E71,SEARCH("x",$E71)-1))),"")</f>
        <v/>
      </c>
      <c r="AB71" s="73">
        <f>IFERROR(VALUE(TRIM(MID($E71,SEARCH("x",$E71)+1,10))),"")</f>
        <v/>
      </c>
      <c r="AC71" s="68">
        <f>IF(OR($AA71="",$AB71=""),"",IF($AA71&gt;$AB71,"A",IF($AA71&lt;$AB71,"B","E")))</f>
        <v/>
      </c>
      <c r="AD71" s="53" t="n"/>
    </row>
    <row r="72" ht="15.75" customHeight="1" thickBot="1">
      <c r="A72" s="179" t="n"/>
      <c r="B72" s="25" t="inlineStr">
        <is>
          <t>Panamá x Inglaterra</t>
        </is>
      </c>
      <c r="C72" s="37">
        <f>TRIM(LEFT(B72,FIND(" x ",B72)-1))</f>
        <v/>
      </c>
      <c r="D72" s="37">
        <f>TRIM(MID(B72,FIND(" x ",B72)+3,100))</f>
        <v/>
      </c>
      <c r="E72" s="47" t="inlineStr">
        <is>
          <t>0x2</t>
        </is>
      </c>
      <c r="F72" s="176" t="n"/>
      <c r="G72" s="114" t="inlineStr">
        <is>
          <t>B</t>
        </is>
      </c>
      <c r="H72" s="63" t="inlineStr">
        <is>
          <t>B</t>
        </is>
      </c>
      <c r="I72" s="63" t="inlineStr">
        <is>
          <t>B</t>
        </is>
      </c>
      <c r="J72" s="63" t="inlineStr">
        <is>
          <t>B</t>
        </is>
      </c>
      <c r="K72" s="63" t="inlineStr">
        <is>
          <t>B</t>
        </is>
      </c>
      <c r="L72" s="63" t="inlineStr">
        <is>
          <t>B</t>
        </is>
      </c>
      <c r="M72" s="63" t="inlineStr">
        <is>
          <t>B</t>
        </is>
      </c>
      <c r="N72" s="63" t="inlineStr">
        <is>
          <t>B</t>
        </is>
      </c>
      <c r="O72" s="63" t="inlineStr">
        <is>
          <t>B</t>
        </is>
      </c>
      <c r="P72" s="63" t="inlineStr">
        <is>
          <t>B</t>
        </is>
      </c>
      <c r="Q72" s="63" t="inlineStr">
        <is>
          <t>B</t>
        </is>
      </c>
      <c r="R72" s="63" t="inlineStr">
        <is>
          <t>B</t>
        </is>
      </c>
      <c r="S72" s="63" t="inlineStr">
        <is>
          <t>B</t>
        </is>
      </c>
      <c r="T72" s="63" t="inlineStr">
        <is>
          <t>B</t>
        </is>
      </c>
      <c r="U72" s="63" t="inlineStr">
        <is>
          <t>B</t>
        </is>
      </c>
      <c r="V72" s="63" t="inlineStr">
        <is>
          <t>B</t>
        </is>
      </c>
      <c r="W72" s="63" t="inlineStr">
        <is>
          <t>B</t>
        </is>
      </c>
      <c r="X72" s="63" t="inlineStr">
        <is>
          <t>B</t>
        </is>
      </c>
      <c r="Y72" s="63" t="inlineStr">
        <is>
          <t>B</t>
        </is>
      </c>
      <c r="Z72" s="63" t="inlineStr">
        <is>
          <t>B</t>
        </is>
      </c>
      <c r="AA72" s="85">
        <f>IFERROR(VALUE(TRIM(LEFT($E72,SEARCH("x",$E72)-1))),"")</f>
        <v/>
      </c>
      <c r="AB72" s="73">
        <f>IFERROR(VALUE(TRIM(MID($E72,SEARCH("x",$E72)+1,10))),"")</f>
        <v/>
      </c>
      <c r="AC72" s="68">
        <f>IF(OR($AA72="",$AB72=""),"",IF($AA72&gt;$AB72,"A",IF($AA72&lt;$AB72,"B","E")))</f>
        <v/>
      </c>
      <c r="AD72" s="53" t="n"/>
    </row>
    <row r="73" ht="15.75" customHeight="1" thickBot="1">
      <c r="A73" s="180" t="n"/>
      <c r="B73" s="30" t="inlineStr">
        <is>
          <t>Croácia x Gana</t>
        </is>
      </c>
      <c r="C73" s="42">
        <f>TRIM(LEFT(B73,FIND(" x ",B73)-1))</f>
        <v/>
      </c>
      <c r="D73" s="42">
        <f>TRIM(MID(B73,FIND(" x ",B73)+3,100))</f>
        <v/>
      </c>
      <c r="E73" s="52" t="inlineStr">
        <is>
          <t>2x1</t>
        </is>
      </c>
      <c r="F73" s="181" t="n"/>
      <c r="G73" s="115" t="inlineStr">
        <is>
          <t>A</t>
        </is>
      </c>
      <c r="H73" s="96" t="inlineStr">
        <is>
          <t>B</t>
        </is>
      </c>
      <c r="I73" s="96" t="inlineStr">
        <is>
          <t>A</t>
        </is>
      </c>
      <c r="J73" s="96" t="inlineStr">
        <is>
          <t>E</t>
        </is>
      </c>
      <c r="K73" s="96" t="inlineStr">
        <is>
          <t>E</t>
        </is>
      </c>
      <c r="L73" s="96" t="inlineStr">
        <is>
          <t>B</t>
        </is>
      </c>
      <c r="M73" s="96" t="inlineStr">
        <is>
          <t>A</t>
        </is>
      </c>
      <c r="N73" s="96" t="inlineStr">
        <is>
          <t>A</t>
        </is>
      </c>
      <c r="O73" s="96" t="inlineStr">
        <is>
          <t>B</t>
        </is>
      </c>
      <c r="P73" s="96" t="inlineStr">
        <is>
          <t>B</t>
        </is>
      </c>
      <c r="Q73" s="96" t="inlineStr">
        <is>
          <t>A</t>
        </is>
      </c>
      <c r="R73" s="96" t="inlineStr">
        <is>
          <t>B</t>
        </is>
      </c>
      <c r="S73" s="96" t="inlineStr">
        <is>
          <t>A</t>
        </is>
      </c>
      <c r="T73" s="96" t="inlineStr">
        <is>
          <t>E</t>
        </is>
      </c>
      <c r="U73" s="96" t="inlineStr">
        <is>
          <t>B</t>
        </is>
      </c>
      <c r="V73" s="96" t="n"/>
      <c r="W73" s="96" t="inlineStr">
        <is>
          <t>B</t>
        </is>
      </c>
      <c r="X73" s="96" t="inlineStr">
        <is>
          <t>A</t>
        </is>
      </c>
      <c r="Y73" s="96" t="inlineStr">
        <is>
          <t>A</t>
        </is>
      </c>
      <c r="Z73" s="96" t="inlineStr">
        <is>
          <t>E</t>
        </is>
      </c>
      <c r="AA73" s="85">
        <f>IFERROR(VALUE(TRIM(LEFT($E73,SEARCH("x",$E73)-1))),"")</f>
        <v/>
      </c>
      <c r="AB73" s="73">
        <f>IFERROR(VALUE(TRIM(MID($E73,SEARCH("x",$E73)+1,10))),"")</f>
        <v/>
      </c>
      <c r="AC73" s="71">
        <f>IF(OR($AA73="",$AB73=""),"",IF($AA73&gt;$AB73,"A",IF($AA73&lt;$AB73,"B","E")))</f>
        <v/>
      </c>
      <c r="AD73" s="53" t="n"/>
    </row>
    <row r="74" ht="15.75" customHeight="1" thickBot="1">
      <c r="F74" s="84" t="inlineStr">
        <is>
          <t>TOTAL</t>
        </is>
      </c>
      <c r="G74" s="92">
        <f t="array" ref="G74">SUMPRODUCT(--(UPPER(G2:G73)=$AC$2:$AC$73),--($AC$2:$AC$73&lt;&gt;""))</f>
        <v/>
      </c>
      <c r="H74" s="92">
        <f t="array" ref="H74">SUMPRODUCT(--(UPPER(H2:H73)=$AC$2:$AC$73),--($AC$2:$AC$73&lt;&gt;""))</f>
        <v/>
      </c>
      <c r="I74" s="92">
        <f t="array" ref="I74">SUMPRODUCT(--(UPPER(I2:I73)=$AC$2:$AC$73),--($AC$2:$AC$73&lt;&gt;""))</f>
        <v/>
      </c>
      <c r="J74" s="92">
        <f t="array" ref="J74">SUMPRODUCT(--(UPPER(J2:J73)=$AC$2:$AC$73),--($AC$2:$AC$73&lt;&gt;""))</f>
        <v/>
      </c>
      <c r="K74" s="92">
        <f t="array" ref="K74">SUMPRODUCT(--(UPPER(K2:K73)=$AC$2:$AC$73),--($AC$2:$AC$73&lt;&gt;""))</f>
        <v/>
      </c>
      <c r="L74" s="92">
        <f t="array" ref="L74">SUMPRODUCT(--(UPPER(L2:L73)=$AC$2:$AC$73),--($AC$2:$AC$73&lt;&gt;""))</f>
        <v/>
      </c>
      <c r="M74" s="92">
        <f t="array" ref="M74">SUMPRODUCT(--(UPPER(M2:M73)=$AC$2:$AC$73),--($AC$2:$AC$73&lt;&gt;""))</f>
        <v/>
      </c>
      <c r="N74" s="92">
        <f t="array" ref="N74">SUMPRODUCT(--(UPPER(N2:N73)=$AC$2:$AC$73),--($AC$2:$AC$73&lt;&gt;""))</f>
        <v/>
      </c>
      <c r="O74" s="92">
        <f t="array" ref="O74">SUMPRODUCT(--(UPPER(O2:O73)=$AC$2:$AC$73),--($AC$2:$AC$73&lt;&gt;""))</f>
        <v/>
      </c>
      <c r="P74" s="92">
        <f t="array" ref="P74">SUMPRODUCT(--(UPPER(P2:P73)=$AC$2:$AC$73),--($AC$2:$AC$73&lt;&gt;""))</f>
        <v/>
      </c>
      <c r="Q74" s="92">
        <f t="array" ref="Q74">SUMPRODUCT(--(UPPER(Q2:Q73)=$AC$2:$AC$73),--($AC$2:$AC$73&lt;&gt;""))</f>
        <v/>
      </c>
      <c r="R74" s="92">
        <f t="array" ref="R74">SUMPRODUCT(--(UPPER(R2:R73)=$AC$2:$AC$73),--($AC$2:$AC$73&lt;&gt;""))</f>
        <v/>
      </c>
      <c r="S74" s="92">
        <f t="array" ref="S74">SUMPRODUCT(--(UPPER(S2:S73)=$AC$2:$AC$73),--($AC$2:$AC$73&lt;&gt;""))</f>
        <v/>
      </c>
      <c r="T74" s="92">
        <f t="array" ref="T74">SUMPRODUCT(--(UPPER(T2:T73)=$AC$2:$AC$73),--($AC$2:$AC$73&lt;&gt;""))</f>
        <v/>
      </c>
      <c r="U74" s="92">
        <f t="array" ref="U74">SUMPRODUCT(--(UPPER(U2:U73)=$AC$2:$AC$73),--($AC$2:$AC$73&lt;&gt;""))</f>
        <v/>
      </c>
      <c r="V74" s="92">
        <f t="array" ref="V74">SUMPRODUCT(--(UPPER(V2:V73)=$AC$2:$AC$73),--($AC$2:$AC$73&lt;&gt;""))</f>
        <v/>
      </c>
      <c r="W74" s="92">
        <f t="array" ref="W74">SUMPRODUCT(--(UPPER(W2:W73)=$AC$2:$AC$73),--($AC$2:$AC$73&lt;&gt;""))</f>
        <v/>
      </c>
      <c r="X74" s="92">
        <f t="array" ref="X74">SUMPRODUCT(--(UPPER(X2:X73)=$AC$2:$AC$73),--($AC$2:$AC$73&lt;&gt;""))</f>
        <v/>
      </c>
      <c r="Y74" s="92">
        <f t="array" ref="Y74">SUMPRODUCT(--(UPPER(Y2:Y73)=$AC$2:$AC$73),--($AC$2:$AC$73&lt;&gt;""))</f>
        <v/>
      </c>
      <c r="Z74" s="92">
        <f t="array" ref="Z74">SUMPRODUCT(--(UPPER(Z2:Z73)=$AC$2:$AC$73),--($AC$2:$AC$73&lt;&gt;""))</f>
        <v/>
      </c>
    </row>
  </sheetData>
  <mergeCells count="18">
    <mergeCell ref="A18:A21"/>
    <mergeCell ref="A56:A61"/>
    <mergeCell ref="A46:A49"/>
    <mergeCell ref="A26:A29"/>
    <mergeCell ref="A38:A41"/>
    <mergeCell ref="A4:A5"/>
    <mergeCell ref="A34:A37"/>
    <mergeCell ref="A6:A9"/>
    <mergeCell ref="A42:A45"/>
    <mergeCell ref="A50:A55"/>
    <mergeCell ref="A14:A17"/>
    <mergeCell ref="A30:A33"/>
    <mergeCell ref="A2:A3"/>
    <mergeCell ref="F1:F73"/>
    <mergeCell ref="A68:A73"/>
    <mergeCell ref="A10:A13"/>
    <mergeCell ref="A22:A25"/>
    <mergeCell ref="A62:A67"/>
  </mergeCells>
  <conditionalFormatting sqref="G50">
    <cfRule type="expression" priority="1" dxfId="1">
      <formula>AND($AC50&lt;&gt;"",G50=$AC50)</formula>
    </cfRule>
    <cfRule type="expression" priority="2" dxfId="0">
      <formula>AND($AC50&lt;&gt;"",G50&lt;&gt;"",G50&lt;&gt;$AC50)</formula>
    </cfRule>
  </conditionalFormatting>
  <conditionalFormatting sqref="G2:Z37 G38:U39 G40:Z49 G51:Z73 H50:Z51 V39 W38:Z39">
    <cfRule type="expression" priority="3" dxfId="1">
      <formula>AND($AC2&lt;&gt;"",G2=$AC2)</formula>
    </cfRule>
    <cfRule type="expression" priority="4" dxfId="0">
      <formula>AND($AC2&lt;&gt;"",G2&lt;&gt;"",G2&lt;&gt;$AC2)</formula>
    </cfRule>
  </conditionalFormatting>
  <conditionalFormatting sqref="V38">
    <cfRule type="expression" priority="7" dxfId="1">
      <formula>AND($AC39&lt;&gt;"",V38=$AC39)</formula>
    </cfRule>
    <cfRule type="expression" priority="8" dxfId="0">
      <formula>AND($AC39&lt;&gt;"",V38&lt;&gt;"",V38&lt;&gt;$AC39)</formula>
    </cfRule>
  </conditionalFormatting>
  <dataValidations count="1">
    <dataValidation sqref="G2:W38 G39:U39 G40:W50 G52:Z73 W39 X2:Z50" showDropDown="0" showInputMessage="1" showErrorMessage="1" allowBlank="1" type="list">
      <formula1>"A,B,E"</formula1>
    </dataValidation>
  </dataValidation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8"/>
  <sheetViews>
    <sheetView tabSelected="1" topLeftCell="B1" workbookViewId="0">
      <pane ySplit="1" topLeftCell="A2" activePane="bottomLeft" state="frozen"/>
      <selection activeCell="S1" sqref="S1"/>
      <selection pane="bottomLeft" activeCell="F3" sqref="F3"/>
    </sheetView>
  </sheetViews>
  <sheetFormatPr baseColWidth="8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 thickBot="1">
      <c r="A1" s="117" t="inlineStr">
        <is>
          <t>DATAS</t>
        </is>
      </c>
      <c r="B1" s="17" t="inlineStr">
        <is>
          <t>CONFRONTOS</t>
        </is>
      </c>
      <c r="C1" s="15" t="inlineStr">
        <is>
          <t>TIME A</t>
        </is>
      </c>
      <c r="D1" s="15" t="inlineStr">
        <is>
          <t>TIME B</t>
        </is>
      </c>
      <c r="E1" s="16" t="inlineStr">
        <is>
          <t>PLACAR</t>
        </is>
      </c>
      <c r="F1" s="173" t="inlineStr">
        <is>
          <t>Penalti</t>
        </is>
      </c>
      <c r="G1" s="141" t="inlineStr">
        <is>
          <t>Prorrogação</t>
        </is>
      </c>
      <c r="H1" s="125" t="n"/>
      <c r="I1" s="91" t="inlineStr">
        <is>
          <t>Alex</t>
        </is>
      </c>
      <c r="J1" s="132" t="inlineStr">
        <is>
          <t>Bonfim</t>
        </is>
      </c>
      <c r="K1" s="91" t="inlineStr">
        <is>
          <t>Christian</t>
        </is>
      </c>
      <c r="L1" s="91" t="inlineStr">
        <is>
          <t>Cleiton</t>
        </is>
      </c>
      <c r="M1" s="91" t="inlineStr">
        <is>
          <t>Daniel</t>
        </is>
      </c>
      <c r="N1" s="91" t="inlineStr">
        <is>
          <t>David</t>
        </is>
      </c>
      <c r="O1" s="91" t="inlineStr">
        <is>
          <t>Douglas</t>
        </is>
      </c>
      <c r="P1" s="91" t="inlineStr">
        <is>
          <t>Dunga</t>
        </is>
      </c>
      <c r="Q1" s="91" t="inlineStr">
        <is>
          <t>Felipe</t>
        </is>
      </c>
      <c r="R1" s="91" t="inlineStr">
        <is>
          <t>Gabriel</t>
        </is>
      </c>
      <c r="S1" s="91" t="inlineStr">
        <is>
          <t>Giliarde</t>
        </is>
      </c>
      <c r="T1" s="91" t="inlineStr">
        <is>
          <t>Gustavo</t>
        </is>
      </c>
      <c r="U1" s="91" t="inlineStr">
        <is>
          <t>Gustavo Lima</t>
        </is>
      </c>
      <c r="V1" s="91" t="inlineStr">
        <is>
          <t>Heitor</t>
        </is>
      </c>
      <c r="W1" s="91" t="inlineStr">
        <is>
          <t>Juninho</t>
        </is>
      </c>
      <c r="X1" s="91" t="inlineStr">
        <is>
          <t>Leonardo</t>
        </is>
      </c>
      <c r="Y1" s="91" t="inlineStr">
        <is>
          <t>Patrick</t>
        </is>
      </c>
      <c r="Z1" s="91" t="inlineStr">
        <is>
          <t>Rasta</t>
        </is>
      </c>
      <c r="AA1" s="91" t="inlineStr">
        <is>
          <t>Renan</t>
        </is>
      </c>
      <c r="AB1" s="91" t="inlineStr">
        <is>
          <t>Sanches</t>
        </is>
      </c>
      <c r="AC1" s="133" t="inlineStr">
        <is>
          <t>Gols A</t>
        </is>
      </c>
      <c r="AD1" s="134" t="inlineStr">
        <is>
          <t>Gols B</t>
        </is>
      </c>
      <c r="AE1" s="69" t="inlineStr">
        <is>
          <t>RESULTADO</t>
        </is>
      </c>
    </row>
    <row r="2" ht="15.75" customHeight="1" thickBot="1">
      <c r="A2" s="122" t="n">
        <v>46201</v>
      </c>
      <c r="B2" s="119" t="inlineStr">
        <is>
          <t>África do Sul x Canadá</t>
        </is>
      </c>
      <c r="C2" s="120">
        <f>TRIM(LEFT(B2,FIND(" x ",B2)-1))</f>
        <v/>
      </c>
      <c r="D2" s="120">
        <f>TRIM(MID(B2,FIND(" x ",B2)+3,100))</f>
        <v/>
      </c>
      <c r="E2" s="135" t="inlineStr">
        <is>
          <t>0x1</t>
        </is>
      </c>
      <c r="F2" s="174" t="n"/>
      <c r="G2" s="144" t="n"/>
      <c r="H2" s="142" t="n"/>
      <c r="I2" s="136" t="inlineStr">
        <is>
          <t>B</t>
        </is>
      </c>
      <c r="J2" s="137" t="inlineStr">
        <is>
          <t>A</t>
        </is>
      </c>
      <c r="K2" s="136" t="inlineStr">
        <is>
          <t>B</t>
        </is>
      </c>
      <c r="L2" s="136" t="inlineStr">
        <is>
          <t>A</t>
        </is>
      </c>
      <c r="M2" s="136" t="inlineStr">
        <is>
          <t>E</t>
        </is>
      </c>
      <c r="N2" s="136" t="inlineStr">
        <is>
          <t>B</t>
        </is>
      </c>
      <c r="O2" s="136" t="inlineStr">
        <is>
          <t>B</t>
        </is>
      </c>
      <c r="P2" s="136" t="inlineStr">
        <is>
          <t>B</t>
        </is>
      </c>
      <c r="Q2" s="136" t="inlineStr">
        <is>
          <t>B</t>
        </is>
      </c>
      <c r="R2" s="136" t="inlineStr">
        <is>
          <t>B</t>
        </is>
      </c>
      <c r="S2" s="136" t="inlineStr">
        <is>
          <t>A</t>
        </is>
      </c>
      <c r="T2" s="136" t="n"/>
      <c r="U2" s="136" t="inlineStr">
        <is>
          <t>B</t>
        </is>
      </c>
      <c r="V2" s="136" t="inlineStr">
        <is>
          <t>B</t>
        </is>
      </c>
      <c r="W2" s="136" t="inlineStr">
        <is>
          <t>B</t>
        </is>
      </c>
      <c r="X2" s="136" t="inlineStr">
        <is>
          <t>B</t>
        </is>
      </c>
      <c r="Y2" s="136" t="n"/>
      <c r="Z2" s="136" t="inlineStr">
        <is>
          <t>A</t>
        </is>
      </c>
      <c r="AA2" s="136" t="inlineStr">
        <is>
          <t>B</t>
        </is>
      </c>
      <c r="AB2" s="136" t="n"/>
      <c r="AC2" s="66">
        <f>IFERROR(VALUE(TRIM(LEFT($E2,SEARCH("x",$E2)-1))),"")</f>
        <v/>
      </c>
      <c r="AD2" s="73">
        <f>IFERROR(VALUE(TRIM(MID($E2,SEARCH("x",$E2)+1,10))),"")</f>
        <v/>
      </c>
      <c r="AE2" s="71">
        <f>IF(OR($AC2="",$AD2=""),"",IF($AC2&gt;$AD2,"A",IF($AC2&lt;$AD2,"B","E")))</f>
        <v/>
      </c>
    </row>
    <row r="3" ht="15.75" customHeight="1" thickBot="1">
      <c r="A3" s="146" t="n">
        <v>46202</v>
      </c>
      <c r="B3" s="118" t="inlineStr">
        <is>
          <t>Alemanha x Paraguai</t>
        </is>
      </c>
      <c r="C3" s="36">
        <f>TRIM(LEFT(B3,FIND(" x ",B3)-1))</f>
        <v/>
      </c>
      <c r="D3" s="36">
        <f>TRIM(MID(B3,FIND(" x ",B3)+3,100))</f>
        <v/>
      </c>
      <c r="E3" s="135" t="inlineStr">
        <is>
          <t>1x1</t>
        </is>
      </c>
      <c r="F3" s="174" t="inlineStr">
        <is>
          <t>B</t>
        </is>
      </c>
      <c r="G3" s="144" t="n"/>
      <c r="H3" s="143" t="n"/>
      <c r="I3" s="65" t="inlineStr">
        <is>
          <t>A</t>
        </is>
      </c>
      <c r="J3" s="111" t="inlineStr">
        <is>
          <t>A</t>
        </is>
      </c>
      <c r="K3" s="65" t="inlineStr">
        <is>
          <t>A</t>
        </is>
      </c>
      <c r="L3" s="65" t="inlineStr">
        <is>
          <t>A</t>
        </is>
      </c>
      <c r="M3" s="65" t="inlineStr">
        <is>
          <t>A</t>
        </is>
      </c>
      <c r="N3" s="65" t="inlineStr">
        <is>
          <t>A</t>
        </is>
      </c>
      <c r="O3" s="65" t="inlineStr">
        <is>
          <t>A</t>
        </is>
      </c>
      <c r="P3" s="65" t="inlineStr">
        <is>
          <t>A</t>
        </is>
      </c>
      <c r="Q3" s="65" t="inlineStr">
        <is>
          <t>A</t>
        </is>
      </c>
      <c r="R3" s="65" t="inlineStr">
        <is>
          <t>A</t>
        </is>
      </c>
      <c r="S3" s="65" t="inlineStr">
        <is>
          <t>A</t>
        </is>
      </c>
      <c r="T3" s="65" t="inlineStr">
        <is>
          <t>A</t>
        </is>
      </c>
      <c r="U3" s="65" t="inlineStr">
        <is>
          <t>A</t>
        </is>
      </c>
      <c r="V3" s="65" t="inlineStr">
        <is>
          <t>A</t>
        </is>
      </c>
      <c r="W3" s="65" t="inlineStr">
        <is>
          <t>A</t>
        </is>
      </c>
      <c r="X3" s="65" t="inlineStr">
        <is>
          <t>A</t>
        </is>
      </c>
      <c r="Y3" s="65" t="inlineStr">
        <is>
          <t>A</t>
        </is>
      </c>
      <c r="Z3" s="65" t="inlineStr">
        <is>
          <t>B</t>
        </is>
      </c>
      <c r="AA3" s="65" t="inlineStr">
        <is>
          <t>A</t>
        </is>
      </c>
      <c r="AB3" s="65" t="inlineStr">
        <is>
          <t>A</t>
        </is>
      </c>
      <c r="AC3" s="129">
        <f>IFERROR(VALUE(TRIM(LEFT($E3,SEARCH("x",$E3)-1))),"")</f>
        <v/>
      </c>
      <c r="AD3" s="130">
        <f>IFERROR(VALUE(TRIM(MID($E3,SEARCH("x",$E3)+1,10))),"")</f>
        <v/>
      </c>
      <c r="AE3" s="131">
        <f>IF(OR($AC3="",$AD3=""),"",IF($AC3&gt;$AD3,"A",IF($AC3&lt;$AD3,"B","E")))</f>
        <v/>
      </c>
    </row>
    <row r="4" ht="15.75" customHeight="1" thickBot="1">
      <c r="A4" s="182" t="n"/>
      <c r="B4" s="19" t="inlineStr">
        <is>
          <t>Países Baixos x Marrocos</t>
        </is>
      </c>
      <c r="C4" s="31">
        <f>TRIM(LEFT(B4,FIND(" x ",B4)-1))</f>
        <v/>
      </c>
      <c r="D4" s="31">
        <f>TRIM(MID(B4,FIND(" x ",B4)+3,100))</f>
        <v/>
      </c>
      <c r="E4" s="121" t="inlineStr">
        <is>
          <t>#x#</t>
        </is>
      </c>
      <c r="F4" s="174" t="n"/>
      <c r="G4" s="144" t="n"/>
      <c r="H4" s="143" t="n"/>
      <c r="I4" s="60" t="inlineStr">
        <is>
          <t>A</t>
        </is>
      </c>
      <c r="J4" s="86" t="inlineStr">
        <is>
          <t>B</t>
        </is>
      </c>
      <c r="K4" s="60" t="inlineStr">
        <is>
          <t>A</t>
        </is>
      </c>
      <c r="L4" s="60" t="inlineStr">
        <is>
          <t>A</t>
        </is>
      </c>
      <c r="M4" s="60" t="inlineStr">
        <is>
          <t>A</t>
        </is>
      </c>
      <c r="N4" s="60" t="inlineStr">
        <is>
          <t>A</t>
        </is>
      </c>
      <c r="O4" s="60" t="inlineStr">
        <is>
          <t>A</t>
        </is>
      </c>
      <c r="P4" s="60" t="inlineStr">
        <is>
          <t>A</t>
        </is>
      </c>
      <c r="Q4" s="60" t="inlineStr">
        <is>
          <t>E</t>
        </is>
      </c>
      <c r="R4" s="60" t="inlineStr">
        <is>
          <t>B</t>
        </is>
      </c>
      <c r="S4" s="60" t="inlineStr">
        <is>
          <t>B</t>
        </is>
      </c>
      <c r="T4" s="60" t="inlineStr">
        <is>
          <t>B</t>
        </is>
      </c>
      <c r="U4" s="60" t="inlineStr">
        <is>
          <t>A</t>
        </is>
      </c>
      <c r="V4" s="60" t="inlineStr">
        <is>
          <t>E</t>
        </is>
      </c>
      <c r="W4" s="60" t="inlineStr">
        <is>
          <t>A</t>
        </is>
      </c>
      <c r="X4" s="60" t="inlineStr">
        <is>
          <t>A</t>
        </is>
      </c>
      <c r="Y4" s="60" t="inlineStr">
        <is>
          <t>A</t>
        </is>
      </c>
      <c r="Z4" s="60" t="inlineStr">
        <is>
          <t>A</t>
        </is>
      </c>
      <c r="AA4" s="60" t="inlineStr">
        <is>
          <t>A</t>
        </is>
      </c>
      <c r="AB4" s="60" t="inlineStr">
        <is>
          <t>A</t>
        </is>
      </c>
      <c r="AC4" s="126">
        <f>IFERROR(VALUE(TRIM(LEFT($E4,SEARCH("x",$E4)-1))),"")</f>
        <v/>
      </c>
      <c r="AD4" s="128">
        <f>IFERROR(VALUE(TRIM(MID($E4,SEARCH("x",$E4)+1,10))),"")</f>
        <v/>
      </c>
      <c r="AE4" s="127">
        <f>IF(OR($AC4="",$AD4=""),"",IF($AC4&gt;$AD4,"A",IF($AC4&lt;$AD4,"B","E")))</f>
        <v/>
      </c>
    </row>
    <row r="5" ht="15.75" customHeight="1" thickBot="1">
      <c r="A5" s="183" t="n"/>
      <c r="B5" s="119" t="inlineStr">
        <is>
          <t>Brasil x Japão</t>
        </is>
      </c>
      <c r="C5" s="120">
        <f>TRIM(LEFT(B5,FIND(" x ",B5)-1))</f>
        <v/>
      </c>
      <c r="D5" s="120">
        <f>TRIM(MID(B5,FIND(" x ",B5)+3,100))</f>
        <v/>
      </c>
      <c r="E5" s="121" t="inlineStr">
        <is>
          <t>2x1</t>
        </is>
      </c>
      <c r="F5" s="174" t="n"/>
      <c r="G5" s="144" t="n"/>
      <c r="H5" s="142" t="n"/>
      <c r="I5" s="96" t="inlineStr">
        <is>
          <t>A</t>
        </is>
      </c>
      <c r="J5" s="115" t="inlineStr">
        <is>
          <t>A</t>
        </is>
      </c>
      <c r="K5" s="96" t="inlineStr">
        <is>
          <t>A</t>
        </is>
      </c>
      <c r="L5" s="96" t="inlineStr">
        <is>
          <t>A</t>
        </is>
      </c>
      <c r="M5" s="96" t="inlineStr">
        <is>
          <t>A</t>
        </is>
      </c>
      <c r="N5" s="96" t="inlineStr">
        <is>
          <t>A</t>
        </is>
      </c>
      <c r="O5" s="96" t="inlineStr">
        <is>
          <t>A</t>
        </is>
      </c>
      <c r="P5" s="96" t="inlineStr">
        <is>
          <t>A</t>
        </is>
      </c>
      <c r="Q5" s="96" t="inlineStr">
        <is>
          <t>A</t>
        </is>
      </c>
      <c r="R5" s="96" t="inlineStr">
        <is>
          <t>A</t>
        </is>
      </c>
      <c r="S5" s="96" t="inlineStr">
        <is>
          <t>A</t>
        </is>
      </c>
      <c r="T5" s="96" t="inlineStr">
        <is>
          <t>A</t>
        </is>
      </c>
      <c r="U5" s="96" t="inlineStr">
        <is>
          <t>A</t>
        </is>
      </c>
      <c r="V5" s="96" t="inlineStr">
        <is>
          <t>A</t>
        </is>
      </c>
      <c r="W5" s="96" t="inlineStr">
        <is>
          <t>A</t>
        </is>
      </c>
      <c r="X5" s="96" t="inlineStr">
        <is>
          <t>A</t>
        </is>
      </c>
      <c r="Y5" s="96" t="inlineStr">
        <is>
          <t>A</t>
        </is>
      </c>
      <c r="Z5" s="96" t="inlineStr">
        <is>
          <t>A</t>
        </is>
      </c>
      <c r="AA5" s="96" t="inlineStr">
        <is>
          <t>A</t>
        </is>
      </c>
      <c r="AB5" s="96" t="inlineStr">
        <is>
          <t>A</t>
        </is>
      </c>
      <c r="AC5" s="138">
        <f>IFERROR(VALUE(TRIM(LEFT($E5,SEARCH("x",$E5)-1))),"")</f>
        <v/>
      </c>
      <c r="AD5" s="139">
        <f>IFERROR(VALUE(TRIM(MID($E5,SEARCH("x",$E5)+1,10))),"")</f>
        <v/>
      </c>
      <c r="AE5" s="140">
        <f>IF(OR($AC5="",$AD5=""),"",IF($AC5&gt;$AD5,"A",IF($AC5&lt;$AD5,"B","E")))</f>
        <v/>
      </c>
    </row>
    <row r="6" ht="15.75" customHeight="1" thickBot="1">
      <c r="A6" s="146" t="n">
        <v>46203</v>
      </c>
      <c r="B6" s="118" t="inlineStr">
        <is>
          <t>França x Suécia</t>
        </is>
      </c>
      <c r="C6" s="36">
        <f>TRIM(LEFT(B6,FIND(" x ",B6)-1))</f>
        <v/>
      </c>
      <c r="D6" s="36">
        <f>TRIM(MID(B6,FIND(" x ",B6)+3,100))</f>
        <v/>
      </c>
      <c r="E6" s="135" t="inlineStr">
        <is>
          <t>#x#</t>
        </is>
      </c>
      <c r="F6" s="174" t="n"/>
      <c r="G6" s="144" t="n"/>
      <c r="H6" s="143" t="n"/>
      <c r="I6" s="65" t="n"/>
      <c r="J6" s="111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65" t="n"/>
      <c r="Z6" s="65" t="n"/>
      <c r="AA6" s="65" t="n"/>
      <c r="AB6" s="65" t="n"/>
      <c r="AC6" s="129">
        <f>IFERROR(VALUE(TRIM(LEFT($E6,SEARCH("x",$E6)-1))),"")</f>
        <v/>
      </c>
      <c r="AD6" s="130">
        <f>IFERROR(VALUE(TRIM(MID($E6,SEARCH("x",$E6)+1,10))),"")</f>
        <v/>
      </c>
      <c r="AE6" s="131">
        <f>IF(OR($AC6="",$AD6=""),"",IF($AC6&gt;$AD6,"A",IF($AC6&lt;$AD6,"B","E")))</f>
        <v/>
      </c>
    </row>
    <row r="7" ht="15.75" customHeight="1" thickBot="1">
      <c r="A7" s="182" t="n"/>
      <c r="B7" s="19" t="inlineStr">
        <is>
          <t>Costa do Marfim x Noruega</t>
        </is>
      </c>
      <c r="C7" s="31">
        <f>TRIM(LEFT(B7,FIND(" x ",B7)-1))</f>
        <v/>
      </c>
      <c r="D7" s="31">
        <f>TRIM(MID(B7,FIND(" x ",B7)+3,100))</f>
        <v/>
      </c>
      <c r="E7" s="121" t="inlineStr">
        <is>
          <t>#x#</t>
        </is>
      </c>
      <c r="F7" s="174" t="n"/>
      <c r="G7" s="144" t="n"/>
      <c r="H7" s="143" t="n"/>
      <c r="I7" s="60" t="n"/>
      <c r="J7" s="86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126">
        <f>IFERROR(VALUE(TRIM(LEFT($E7,SEARCH("x",$E7)-1))),"")</f>
        <v/>
      </c>
      <c r="AD7" s="128">
        <f>IFERROR(VALUE(TRIM(MID($E7,SEARCH("x",$E7)+1,10))),"")</f>
        <v/>
      </c>
      <c r="AE7" s="127">
        <f>IF(OR($AC7="",$AD7=""),"",IF($AC7&gt;$AD7,"A",IF($AC7&lt;$AD7,"B","E")))</f>
        <v/>
      </c>
    </row>
    <row r="8" ht="15.75" customHeight="1" thickBot="1">
      <c r="A8" s="183" t="n"/>
      <c r="B8" s="119" t="inlineStr">
        <is>
          <t>México x Equador</t>
        </is>
      </c>
      <c r="C8" s="120">
        <f>TRIM(LEFT(B8,FIND(" x ",B8)-1))</f>
        <v/>
      </c>
      <c r="D8" s="120">
        <f>TRIM(MID(B8,FIND(" x ",B8)+3,100))</f>
        <v/>
      </c>
      <c r="E8" s="121" t="inlineStr">
        <is>
          <t>#x#</t>
        </is>
      </c>
      <c r="F8" s="174" t="n"/>
      <c r="G8" s="144" t="n"/>
      <c r="H8" s="142" t="n"/>
      <c r="I8" s="96" t="n"/>
      <c r="J8" s="115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  <c r="AA8" s="96" t="n"/>
      <c r="AB8" s="96" t="n"/>
      <c r="AC8" s="138">
        <f>IFERROR(VALUE(TRIM(LEFT($E8,SEARCH("x",$E8)-1))),"")</f>
        <v/>
      </c>
      <c r="AD8" s="139">
        <f>IFERROR(VALUE(TRIM(MID($E8,SEARCH("x",$E8)+1,10))),"")</f>
        <v/>
      </c>
      <c r="AE8" s="140">
        <f>IF(OR($AC8="",$AD8=""),"",IF($AC8&gt;$AD8,"A",IF($AC8&lt;$AD8,"B","E")))</f>
        <v/>
      </c>
    </row>
    <row r="9" ht="15.75" customHeight="1" thickBot="1">
      <c r="A9" s="146" t="n">
        <v>46204</v>
      </c>
      <c r="B9" s="118" t="inlineStr">
        <is>
          <t>Inglaterra x Rep. Dem. Congo</t>
        </is>
      </c>
      <c r="C9" s="36">
        <f>TRIM(LEFT(B9,FIND(" x ",B9)-1))</f>
        <v/>
      </c>
      <c r="D9" s="36">
        <f>TRIM(MID(B9,FIND(" x ",B9)+3,100))</f>
        <v/>
      </c>
      <c r="E9" s="135" t="inlineStr">
        <is>
          <t>#x#</t>
        </is>
      </c>
      <c r="F9" s="174" t="n"/>
      <c r="G9" s="144" t="n"/>
      <c r="H9" s="143" t="n"/>
      <c r="I9" s="65" t="n"/>
      <c r="J9" s="111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  <c r="AA9" s="65" t="n"/>
      <c r="AB9" s="65" t="n"/>
      <c r="AC9" s="129">
        <f>IFERROR(VALUE(TRIM(LEFT($E9,SEARCH("x",$E9)-1))),"")</f>
        <v/>
      </c>
      <c r="AD9" s="130">
        <f>IFERROR(VALUE(TRIM(MID($E9,SEARCH("x",$E9)+1,10))),"")</f>
        <v/>
      </c>
      <c r="AE9" s="131">
        <f>IF(OR($AC9="",$AD9=""),"",IF($AC9&gt;$AD9,"A",IF($AC9&lt;$AD9,"B","E")))</f>
        <v/>
      </c>
    </row>
    <row r="10" ht="15.75" customHeight="1" thickBot="1">
      <c r="A10" s="182" t="n"/>
      <c r="B10" s="19" t="inlineStr">
        <is>
          <t>Estados Unidos x Bósnia e Herzeg.</t>
        </is>
      </c>
      <c r="C10" s="31">
        <f>TRIM(LEFT(B10,FIND(" x ",B10)-1))</f>
        <v/>
      </c>
      <c r="D10" s="31">
        <f>TRIM(MID(B10,FIND(" x ",B10)+3,100))</f>
        <v/>
      </c>
      <c r="E10" s="121" t="inlineStr">
        <is>
          <t>#x#</t>
        </is>
      </c>
      <c r="F10" s="174" t="n"/>
      <c r="G10" s="144" t="n"/>
      <c r="H10" s="143" t="n"/>
      <c r="I10" s="60" t="n"/>
      <c r="J10" s="86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126">
        <f>IFERROR(VALUE(TRIM(LEFT($E10,SEARCH("x",$E10)-1))),"")</f>
        <v/>
      </c>
      <c r="AD10" s="128">
        <f>IFERROR(VALUE(TRIM(MID($E10,SEARCH("x",$E10)+1,10))),"")</f>
        <v/>
      </c>
      <c r="AE10" s="127">
        <f>IF(OR($AC10="",$AD10=""),"",IF($AC10&gt;$AD10,"A",IF($AC10&lt;$AD10,"B","E")))</f>
        <v/>
      </c>
    </row>
    <row r="11" ht="15.75" customHeight="1" thickBot="1">
      <c r="A11" s="183" t="n"/>
      <c r="B11" s="119" t="inlineStr">
        <is>
          <t>Bélgica x Senegal</t>
        </is>
      </c>
      <c r="C11" s="120">
        <f>TRIM(LEFT(B11,FIND(" x ",B11)-1))</f>
        <v/>
      </c>
      <c r="D11" s="120">
        <f>TRIM(MID(B11,FIND(" x ",B11)+3,100))</f>
        <v/>
      </c>
      <c r="E11" s="121" t="inlineStr">
        <is>
          <t>#x#</t>
        </is>
      </c>
      <c r="F11" s="174" t="n"/>
      <c r="G11" s="144" t="n"/>
      <c r="H11" s="142" t="n"/>
      <c r="I11" s="96" t="n"/>
      <c r="J11" s="115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  <c r="AA11" s="96" t="n"/>
      <c r="AB11" s="96" t="n"/>
      <c r="AC11" s="138">
        <f>IFERROR(VALUE(TRIM(LEFT($E11,SEARCH("x",$E11)-1))),"")</f>
        <v/>
      </c>
      <c r="AD11" s="139">
        <f>IFERROR(VALUE(TRIM(MID($E11,SEARCH("x",$E11)+1,10))),"")</f>
        <v/>
      </c>
      <c r="AE11" s="140">
        <f>IF(OR($AC11="",$AD11=""),"",IF($AC11&gt;$AD11,"A",IF($AC11&lt;$AD11,"B","E")))</f>
        <v/>
      </c>
    </row>
    <row r="12" ht="15.75" customHeight="1" thickBot="1">
      <c r="A12" s="146" t="n">
        <v>46205</v>
      </c>
      <c r="B12" s="118" t="inlineStr">
        <is>
          <t>Portugal x Croácia</t>
        </is>
      </c>
      <c r="C12" s="36">
        <f>TRIM(LEFT(B12,FIND(" x ",B12)-1))</f>
        <v/>
      </c>
      <c r="D12" s="36">
        <f>TRIM(MID(B12,FIND(" x ",B12)+3,100))</f>
        <v/>
      </c>
      <c r="E12" s="135" t="inlineStr">
        <is>
          <t>#x#</t>
        </is>
      </c>
      <c r="F12" s="174" t="n"/>
      <c r="G12" s="144" t="n"/>
      <c r="H12" s="143" t="n"/>
      <c r="I12" s="65" t="n"/>
      <c r="J12" s="111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65" t="n"/>
      <c r="Z12" s="65" t="n"/>
      <c r="AA12" s="65" t="n"/>
      <c r="AB12" s="65" t="n"/>
      <c r="AC12" s="129">
        <f>IFERROR(VALUE(TRIM(LEFT($E12,SEARCH("x",$E12)-1))),"")</f>
        <v/>
      </c>
      <c r="AD12" s="130">
        <f>IFERROR(VALUE(TRIM(MID($E12,SEARCH("x",$E12)+1,10))),"")</f>
        <v/>
      </c>
      <c r="AE12" s="131">
        <f>IF(OR($AC12="",$AD12=""),"",IF($AC12&gt;$AD12,"A",IF($AC12&lt;$AD12,"B","E")))</f>
        <v/>
      </c>
    </row>
    <row r="13" ht="15.75" customHeight="1" thickBot="1">
      <c r="A13" s="182" t="n"/>
      <c r="B13" s="19" t="inlineStr">
        <is>
          <t>Espanha x Áustria</t>
        </is>
      </c>
      <c r="C13" s="31">
        <f>TRIM(LEFT(B13,FIND(" x ",B13)-1))</f>
        <v/>
      </c>
      <c r="D13" s="31">
        <f>TRIM(MID(B13,FIND(" x ",B13)+3,100))</f>
        <v/>
      </c>
      <c r="E13" s="121" t="inlineStr">
        <is>
          <t>#x#</t>
        </is>
      </c>
      <c r="F13" s="174" t="n"/>
      <c r="G13" s="144" t="n"/>
      <c r="H13" s="143" t="n"/>
      <c r="I13" s="60" t="n"/>
      <c r="J13" s="86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126">
        <f>IFERROR(VALUE(TRIM(LEFT($E13,SEARCH("x",$E13)-1))),"")</f>
        <v/>
      </c>
      <c r="AD13" s="128">
        <f>IFERROR(VALUE(TRIM(MID($E13,SEARCH("x",$E13)+1,10))),"")</f>
        <v/>
      </c>
      <c r="AE13" s="127">
        <f>IF(OR($AC13="",$AD13=""),"",IF($AC13&gt;$AD13,"A",IF($AC13&lt;$AD13,"B","E")))</f>
        <v/>
      </c>
    </row>
    <row r="14" ht="15.75" customHeight="1" thickBot="1">
      <c r="A14" s="183" t="n"/>
      <c r="B14" s="119" t="inlineStr">
        <is>
          <t>Suíça x Argélia</t>
        </is>
      </c>
      <c r="C14" s="120">
        <f>TRIM(LEFT(B14,FIND(" x ",B14)-1))</f>
        <v/>
      </c>
      <c r="D14" s="120">
        <f>TRIM(MID(B14,FIND(" x ",B14)+3,100))</f>
        <v/>
      </c>
      <c r="E14" s="121" t="inlineStr">
        <is>
          <t>#x#</t>
        </is>
      </c>
      <c r="F14" s="174" t="n"/>
      <c r="G14" s="144" t="n"/>
      <c r="H14" s="142" t="n"/>
      <c r="I14" s="96" t="n"/>
      <c r="J14" s="115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  <c r="AA14" s="96" t="n"/>
      <c r="AB14" s="96" t="n"/>
      <c r="AC14" s="138">
        <f>IFERROR(VALUE(TRIM(LEFT($E14,SEARCH("x",$E14)-1))),"")</f>
        <v/>
      </c>
      <c r="AD14" s="139">
        <f>IFERROR(VALUE(TRIM(MID($E14,SEARCH("x",$E14)+1,10))),"")</f>
        <v/>
      </c>
      <c r="AE14" s="140">
        <f>IF(OR($AC14="",$AD14=""),"",IF($AC14&gt;$AD14,"A",IF($AC14&lt;$AD14,"B","E")))</f>
        <v/>
      </c>
    </row>
    <row r="15" ht="15.75" customHeight="1" thickBot="1">
      <c r="A15" s="146" t="n">
        <v>46206</v>
      </c>
      <c r="B15" s="118" t="inlineStr">
        <is>
          <t>Colômbia x Gana</t>
        </is>
      </c>
      <c r="C15" s="36">
        <f>TRIM(LEFT(B15,FIND(" x ",B15)-1))</f>
        <v/>
      </c>
      <c r="D15" s="36">
        <f>TRIM(MID(B15,FIND(" x ",B15)+3,100))</f>
        <v/>
      </c>
      <c r="E15" s="135" t="inlineStr">
        <is>
          <t>#x#</t>
        </is>
      </c>
      <c r="F15" s="174" t="n"/>
      <c r="G15" s="144" t="n"/>
      <c r="H15" s="143" t="n"/>
      <c r="I15" s="65" t="n"/>
      <c r="J15" s="111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65" t="n"/>
      <c r="Z15" s="65" t="n"/>
      <c r="AA15" s="65" t="n"/>
      <c r="AB15" s="65" t="n"/>
      <c r="AC15" s="129">
        <f>IFERROR(VALUE(TRIM(LEFT($E15,SEARCH("x",$E15)-1))),"")</f>
        <v/>
      </c>
      <c r="AD15" s="130">
        <f>IFERROR(VALUE(TRIM(MID($E15,SEARCH("x",$E15)+1,10))),"")</f>
        <v/>
      </c>
      <c r="AE15" s="131">
        <f>IF(OR($AC15="",$AD15=""),"",IF($AC15&gt;$AD15,"A",IF($AC15&lt;$AD15,"B","E")))</f>
        <v/>
      </c>
    </row>
    <row r="16" ht="15.75" customHeight="1" thickBot="1">
      <c r="A16" s="182" t="n"/>
      <c r="B16" s="19" t="inlineStr">
        <is>
          <t>Argentina x Cabo Verde</t>
        </is>
      </c>
      <c r="C16" s="31">
        <f>TRIM(LEFT(B16,FIND(" x ",B16)-1))</f>
        <v/>
      </c>
      <c r="D16" s="31">
        <f>TRIM(MID(B16,FIND(" x ",B16)+3,100))</f>
        <v/>
      </c>
      <c r="E16" s="121" t="inlineStr">
        <is>
          <t>#x#</t>
        </is>
      </c>
      <c r="F16" s="174" t="n"/>
      <c r="G16" s="144" t="n"/>
      <c r="H16" s="143" t="n"/>
      <c r="I16" s="60" t="n"/>
      <c r="J16" s="86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126">
        <f>IFERROR(VALUE(TRIM(LEFT($E16,SEARCH("x",$E16)-1))),"")</f>
        <v/>
      </c>
      <c r="AD16" s="128">
        <f>IFERROR(VALUE(TRIM(MID($E16,SEARCH("x",$E16)+1,10))),"")</f>
        <v/>
      </c>
      <c r="AE16" s="127">
        <f>IF(OR($AC16="",$AD16=""),"",IF($AC16&gt;$AD16,"A",IF($AC16&lt;$AD16,"B","E")))</f>
        <v/>
      </c>
    </row>
    <row r="17" ht="15.75" customHeight="1" thickBot="1">
      <c r="A17" s="183" t="n"/>
      <c r="B17" s="119" t="inlineStr">
        <is>
          <t>Austrália x Egito</t>
        </is>
      </c>
      <c r="C17" s="120">
        <f>TRIM(LEFT(B17,FIND(" x ",B17)-1))</f>
        <v/>
      </c>
      <c r="D17" s="120">
        <f>TRIM(MID(B17,FIND(" x ",B17)+3,100))</f>
        <v/>
      </c>
      <c r="E17" s="121" t="inlineStr">
        <is>
          <t>#x#</t>
        </is>
      </c>
      <c r="F17" s="174" t="n"/>
      <c r="G17" s="144" t="n"/>
      <c r="H17" s="142" t="n"/>
      <c r="I17" s="96" t="n"/>
      <c r="J17" s="115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  <c r="AA17" s="96" t="n"/>
      <c r="AB17" s="96" t="n"/>
      <c r="AC17" s="138">
        <f>IFERROR(VALUE(TRIM(LEFT($E17,SEARCH("x",$E17)-1))),"")</f>
        <v/>
      </c>
      <c r="AD17" s="139">
        <f>IFERROR(VALUE(TRIM(MID($E17,SEARCH("x",$E17)+1,10))),"")</f>
        <v/>
      </c>
      <c r="AE17" s="140">
        <f>IF(OR($AC17="",$AD17=""),"",IF($AC17&gt;$AD17,"A",IF($AC17&lt;$AD17,"B","E")))</f>
        <v/>
      </c>
    </row>
    <row r="18" ht="15.75" customHeight="1" thickBot="1">
      <c r="H18" s="124" t="inlineStr">
        <is>
          <t>TOTAL</t>
        </is>
      </c>
      <c r="I18" s="123">
        <f t="array" ref="I18">SUMPRODUCT(--(UPPER(I2:I17)=$AE$2:$AE$17),--($AE$2:$AE$17&lt;&gt;""))+ORGANIZAÇÃO!G74</f>
        <v/>
      </c>
      <c r="J18" s="92">
        <f t="array" ref="J18">SUMPRODUCT(--(UPPER(J2:J17)=$AE$2:$AE$17),--($AE$2:$AE$17&lt;&gt;""))+ORGANIZAÇÃO!H74</f>
        <v/>
      </c>
      <c r="K18" s="92">
        <f t="array" ref="K18">SUMPRODUCT(--(UPPER(K2:K17)=$AE$2:$AE$17),--($AE$2:$AE$17&lt;&gt;""))+ORGANIZAÇÃO!I74</f>
        <v/>
      </c>
      <c r="L18" s="92">
        <f t="array" ref="L18">SUMPRODUCT(--(UPPER(L2:L17)=$AE$2:$AE$17),--($AE$2:$AE$17&lt;&gt;""))+ORGANIZAÇÃO!J74</f>
        <v/>
      </c>
      <c r="M18" s="92">
        <f t="array" ref="M18">SUMPRODUCT(--(UPPER(M2:M17)=$AE$2:$AE$17),--($AE$2:$AE$17&lt;&gt;""))+ORGANIZAÇÃO!K74</f>
        <v/>
      </c>
      <c r="N18" s="92">
        <f t="array" ref="N18">SUMPRODUCT(--(UPPER(N2:N17)=$AE$2:$AE$17),--($AE$2:$AE$17&lt;&gt;""))+ORGANIZAÇÃO!L74</f>
        <v/>
      </c>
      <c r="O18" s="92">
        <f t="array" ref="O18">SUMPRODUCT(--(UPPER(O2:O17)=$AE$2:$AE$17),--($AE$2:$AE$17&lt;&gt;""))+ORGANIZAÇÃO!M74</f>
        <v/>
      </c>
      <c r="P18" s="92">
        <f t="array" ref="P18">SUMPRODUCT(--(UPPER(P2:P17)=$AE$2:$AE$17),--($AE$2:$AE$17&lt;&gt;""))+ORGANIZAÇÃO!N74</f>
        <v/>
      </c>
      <c r="Q18" s="92">
        <f t="array" ref="Q18">SUMPRODUCT(--(UPPER(Q2:Q17)=$AE$2:$AE$17),--($AE$2:$AE$17&lt;&gt;""))+ORGANIZAÇÃO!O74</f>
        <v/>
      </c>
      <c r="R18" s="92">
        <f t="array" ref="R18">SUMPRODUCT(--(UPPER(R2:R17)=$AE$2:$AE$17),--($AE$2:$AE$17&lt;&gt;""))+ORGANIZAÇÃO!P74</f>
        <v/>
      </c>
      <c r="S18" s="92">
        <f t="array" ref="S18">SUMPRODUCT(--(UPPER(S2:S17)=$AE$2:$AE$17),--($AE$2:$AE$17&lt;&gt;""))+ORGANIZAÇÃO!Q74</f>
        <v/>
      </c>
      <c r="T18" s="92">
        <f t="array" ref="T18">SUMPRODUCT(--(UPPER(T2:T17)=$AE$2:$AE$17),--($AE$2:$AE$17&lt;&gt;""))+ORGANIZAÇÃO!R74</f>
        <v/>
      </c>
      <c r="U18" s="92">
        <f t="array" ref="U18">SUMPRODUCT(--(UPPER(U2:U17)=$AE$2:$AE$17),--($AE$2:$AE$17&lt;&gt;""))+ORGANIZAÇÃO!S74</f>
        <v/>
      </c>
      <c r="V18" s="92">
        <f t="array" ref="V18">SUMPRODUCT(--(UPPER(V2:V17)=$AE$2:$AE$17),--($AE$2:$AE$17&lt;&gt;""))+ORGANIZAÇÃO!T74</f>
        <v/>
      </c>
      <c r="W18" s="92">
        <f t="array" ref="W18">SUMPRODUCT(--(UPPER(W2:W17)=$AE$2:$AE$17),--($AE$2:$AE$17&lt;&gt;""))+ORGANIZAÇÃO!U74</f>
        <v/>
      </c>
      <c r="X18" s="92">
        <f t="array" ref="X18">SUMPRODUCT(--(UPPER(X2:X17)=$AE$2:$AE$17),--($AE$2:$AE$17&lt;&gt;""))+ORGANIZAÇÃO!V74</f>
        <v/>
      </c>
      <c r="Y18" s="92">
        <f t="array" ref="Y18">SUMPRODUCT(--(UPPER(Y2:Y17)=$AE$2:$AE$17),--($AE$2:$AE$17&lt;&gt;""))+ORGANIZAÇÃO!W74</f>
        <v/>
      </c>
      <c r="Z18" s="92">
        <f t="array" ref="Z18">SUMPRODUCT(--(UPPER(Z2:Z17)=$AE$2:$AE$17),--($AE$2:$AE$17&lt;&gt;""))+ORGANIZAÇÃO!X74</f>
        <v/>
      </c>
      <c r="AA18" s="92">
        <f t="array" ref="AA18">SUMPRODUCT(--(UPPER(AA2:AA17)=$AE$2:$AE$17),--($AE$2:$AE$17&lt;&gt;""))+ORGANIZAÇÃO!Y74</f>
        <v/>
      </c>
      <c r="AB18" s="92">
        <f t="array" ref="AB18">SUMPRODUCT(--(UPPER(AB2:AB17)=$AE$2:$AE$17),--($AE$2:$AE$17&lt;&gt;""))+ORGANIZAÇÃO!Z74</f>
        <v/>
      </c>
    </row>
  </sheetData>
  <mergeCells count="5">
    <mergeCell ref="A12:A14"/>
    <mergeCell ref="A3:A5"/>
    <mergeCell ref="A15:A17"/>
    <mergeCell ref="A6:A8"/>
    <mergeCell ref="A9:A11"/>
  </mergeCells>
  <conditionalFormatting sqref="I2:AB17">
    <cfRule type="expression" priority="1" dxfId="1">
      <formula>AND($AE2&lt;&gt;"",I2=$AE2)</formula>
    </cfRule>
    <cfRule type="expression" priority="2" dxfId="0">
      <formula>AND($AE2&lt;&gt;"",I2&lt;&gt;"",I2&lt;&gt;$AE2)</formula>
    </cfRule>
  </conditionalFormatting>
  <dataValidations disablePrompts="1" count="1">
    <dataValidation sqref="I2:AB17" showDropDown="0" showInputMessage="0" showErrorMessage="1" allowBlank="1" errorTitle="Valor inválido" error="Digite apenas A (Time A), B (Time B) ou E (Empate)." promptTitle="Palpite" prompt="Escolha A, B ou E" type="list">
      <formula1>"A,B,E"</formula1>
    </dataValidation>
  </dataValidations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selection activeCell="A1" sqref="A1"/>
    </sheetView>
  </sheetViews>
  <sheetFormatPr baseColWidth="8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 thickBot="1">
      <c r="A1" s="117" t="inlineStr">
        <is>
          <t>DATAS</t>
        </is>
      </c>
      <c r="B1" s="17" t="inlineStr">
        <is>
          <t>CONFRONTOS</t>
        </is>
      </c>
      <c r="C1" s="15" t="inlineStr">
        <is>
          <t>TIME A</t>
        </is>
      </c>
      <c r="D1" s="15" t="inlineStr">
        <is>
          <t>TIME B</t>
        </is>
      </c>
      <c r="E1" s="16" t="inlineStr">
        <is>
          <t>PLACAR</t>
        </is>
      </c>
      <c r="F1" s="173" t="inlineStr">
        <is>
          <t>Penalti</t>
        </is>
      </c>
      <c r="G1" s="141" t="inlineStr">
        <is>
          <t>Prorrogação</t>
        </is>
      </c>
      <c r="H1" s="125" t="n"/>
      <c r="I1" s="91" t="inlineStr">
        <is>
          <t>Alex</t>
        </is>
      </c>
      <c r="J1" s="132" t="inlineStr">
        <is>
          <t>Bonfim</t>
        </is>
      </c>
      <c r="K1" s="91" t="inlineStr">
        <is>
          <t>Christian</t>
        </is>
      </c>
      <c r="L1" s="91" t="inlineStr">
        <is>
          <t>Cleiton</t>
        </is>
      </c>
      <c r="M1" s="91" t="inlineStr">
        <is>
          <t>Daniel</t>
        </is>
      </c>
      <c r="N1" s="91" t="inlineStr">
        <is>
          <t>David</t>
        </is>
      </c>
      <c r="O1" s="91" t="inlineStr">
        <is>
          <t>Douglas</t>
        </is>
      </c>
      <c r="P1" s="91" t="inlineStr">
        <is>
          <t>Dunga</t>
        </is>
      </c>
      <c r="Q1" s="91" t="inlineStr">
        <is>
          <t>Felipe</t>
        </is>
      </c>
      <c r="R1" s="91" t="inlineStr">
        <is>
          <t>Gabriel</t>
        </is>
      </c>
      <c r="S1" s="91" t="inlineStr">
        <is>
          <t>Giliarde</t>
        </is>
      </c>
      <c r="T1" s="91" t="inlineStr">
        <is>
          <t>Gustavo</t>
        </is>
      </c>
      <c r="U1" s="91" t="inlineStr">
        <is>
          <t>Gustavo Lima</t>
        </is>
      </c>
      <c r="V1" s="91" t="inlineStr">
        <is>
          <t>Heitor</t>
        </is>
      </c>
      <c r="W1" s="91" t="inlineStr">
        <is>
          <t>Juninho</t>
        </is>
      </c>
      <c r="X1" s="91" t="inlineStr">
        <is>
          <t>Leonardo</t>
        </is>
      </c>
      <c r="Y1" s="91" t="inlineStr">
        <is>
          <t>Patrick</t>
        </is>
      </c>
      <c r="Z1" s="91" t="inlineStr">
        <is>
          <t>Rasta</t>
        </is>
      </c>
      <c r="AA1" s="91" t="inlineStr">
        <is>
          <t>Renan</t>
        </is>
      </c>
      <c r="AB1" s="91" t="inlineStr">
        <is>
          <t>Sanches</t>
        </is>
      </c>
      <c r="AC1" s="133" t="inlineStr">
        <is>
          <t>Gols A</t>
        </is>
      </c>
      <c r="AD1" s="134" t="inlineStr">
        <is>
          <t>Gols B</t>
        </is>
      </c>
      <c r="AE1" s="69" t="inlineStr">
        <is>
          <t>RESULTADO</t>
        </is>
      </c>
    </row>
    <row r="2" ht="15.75" customHeight="1" thickBot="1">
      <c r="A2" s="122" t="n"/>
      <c r="B2" s="119" t="n"/>
      <c r="C2" s="120" t="n"/>
      <c r="D2" s="120" t="n"/>
      <c r="E2" s="135" t="n"/>
      <c r="F2" s="174" t="n"/>
      <c r="G2" s="144" t="n"/>
      <c r="H2" s="142" t="n"/>
      <c r="I2" s="136" t="n"/>
      <c r="J2" s="137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  <c r="AC2" s="66" t="n"/>
      <c r="AD2" s="73" t="n"/>
      <c r="AE2" s="71" t="n"/>
    </row>
    <row r="3" ht="15.75" customHeight="1" thickBot="1">
      <c r="A3" s="146" t="n"/>
      <c r="B3" s="118" t="n"/>
      <c r="C3" s="36" t="n"/>
      <c r="D3" s="36" t="n"/>
      <c r="E3" s="135" t="n"/>
      <c r="F3" s="174" t="n"/>
      <c r="G3" s="144" t="n"/>
      <c r="H3" s="143" t="n"/>
      <c r="I3" s="65" t="n"/>
      <c r="J3" s="111" t="n"/>
      <c r="K3" s="65" t="n"/>
      <c r="L3" s="65" t="n"/>
      <c r="M3" s="65" t="n"/>
      <c r="N3" s="65" t="n"/>
      <c r="O3" s="65" t="n"/>
      <c r="P3" s="65" t="n"/>
      <c r="Q3" s="65" t="n"/>
      <c r="R3" s="65" t="n"/>
      <c r="S3" s="65" t="n"/>
      <c r="T3" s="65" t="n"/>
      <c r="U3" s="65" t="n"/>
      <c r="V3" s="65" t="n"/>
      <c r="W3" s="65" t="n"/>
      <c r="X3" s="65" t="n"/>
      <c r="Y3" s="65" t="n"/>
      <c r="Z3" s="65" t="n"/>
      <c r="AA3" s="65" t="n"/>
      <c r="AB3" s="65" t="n"/>
      <c r="AC3" s="129" t="n"/>
      <c r="AD3" s="130" t="n"/>
      <c r="AE3" s="131" t="n"/>
    </row>
    <row r="4" ht="15.75" customHeight="1" thickBot="1">
      <c r="A4" s="182" t="n"/>
      <c r="B4" s="19" t="n"/>
      <c r="C4" s="31" t="n"/>
      <c r="D4" s="31" t="n"/>
      <c r="E4" s="121" t="n"/>
      <c r="F4" s="174" t="n"/>
      <c r="G4" s="144" t="n"/>
      <c r="H4" s="143" t="n"/>
      <c r="I4" s="60" t="n"/>
      <c r="J4" s="86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  <c r="Z4" s="60" t="n"/>
      <c r="AA4" s="60" t="n"/>
      <c r="AB4" s="60" t="n"/>
      <c r="AC4" s="126" t="n"/>
      <c r="AD4" s="128" t="n"/>
      <c r="AE4" s="127" t="n"/>
    </row>
    <row r="5" ht="15.75" customHeight="1" thickBot="1">
      <c r="A5" s="183" t="n"/>
      <c r="B5" s="119" t="n"/>
      <c r="C5" s="120" t="n"/>
      <c r="D5" s="120" t="n"/>
      <c r="E5" s="121" t="n"/>
      <c r="F5" s="174" t="n"/>
      <c r="G5" s="144" t="n"/>
      <c r="H5" s="142" t="n"/>
      <c r="I5" s="96" t="n"/>
      <c r="J5" s="115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  <c r="AA5" s="96" t="n"/>
      <c r="AB5" s="96" t="n"/>
      <c r="AC5" s="138" t="n"/>
      <c r="AD5" s="139" t="n"/>
      <c r="AE5" s="140" t="n"/>
    </row>
    <row r="6" ht="15.75" customHeight="1" thickBot="1">
      <c r="A6" s="146" t="n"/>
      <c r="B6" s="118" t="n"/>
      <c r="C6" s="36" t="n"/>
      <c r="D6" s="36" t="n"/>
      <c r="E6" s="135" t="n"/>
      <c r="F6" s="174" t="n"/>
      <c r="G6" s="144" t="n"/>
      <c r="H6" s="143" t="n"/>
      <c r="I6" s="65" t="n"/>
      <c r="J6" s="111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65" t="n"/>
      <c r="Z6" s="65" t="n"/>
      <c r="AA6" s="65" t="n"/>
      <c r="AB6" s="65" t="n"/>
      <c r="AC6" s="129" t="n"/>
      <c r="AD6" s="130" t="n"/>
      <c r="AE6" s="131" t="n"/>
    </row>
    <row r="7" ht="15.75" customHeight="1" thickBot="1">
      <c r="A7" s="182" t="n"/>
      <c r="B7" s="19" t="n"/>
      <c r="C7" s="31" t="n"/>
      <c r="D7" s="31" t="n"/>
      <c r="E7" s="121" t="n"/>
      <c r="F7" s="174" t="n"/>
      <c r="G7" s="144" t="n"/>
      <c r="H7" s="143" t="n"/>
      <c r="I7" s="60" t="n"/>
      <c r="J7" s="86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126" t="n"/>
      <c r="AD7" s="128" t="n"/>
      <c r="AE7" s="127" t="n"/>
    </row>
    <row r="8" ht="15.75" customHeight="1" thickBot="1">
      <c r="A8" s="183" t="n"/>
      <c r="B8" s="119" t="n"/>
      <c r="C8" s="120" t="n"/>
      <c r="D8" s="120" t="n"/>
      <c r="E8" s="121" t="n"/>
      <c r="F8" s="174" t="n"/>
      <c r="G8" s="144" t="n"/>
      <c r="H8" s="142" t="n"/>
      <c r="I8" s="96" t="n"/>
      <c r="J8" s="115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  <c r="AA8" s="96" t="n"/>
      <c r="AB8" s="96" t="n"/>
      <c r="AC8" s="138" t="n"/>
      <c r="AD8" s="139" t="n"/>
      <c r="AE8" s="140" t="n"/>
    </row>
    <row r="9" ht="15.75" customHeight="1" thickBot="1">
      <c r="A9" s="146" t="n"/>
      <c r="B9" s="118" t="n"/>
      <c r="C9" s="36" t="n"/>
      <c r="D9" s="36" t="n"/>
      <c r="E9" s="135" t="n"/>
      <c r="F9" s="174" t="n"/>
      <c r="G9" s="144" t="n"/>
      <c r="H9" s="143" t="n"/>
      <c r="I9" s="65" t="n"/>
      <c r="J9" s="111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  <c r="AA9" s="65" t="n"/>
      <c r="AB9" s="65" t="n"/>
      <c r="AC9" s="129" t="n"/>
      <c r="AD9" s="130" t="n"/>
      <c r="AE9" s="131" t="n"/>
    </row>
    <row r="10" ht="15.75" customHeight="1" thickBot="1">
      <c r="A10" s="182" t="n"/>
      <c r="B10" s="19" t="n"/>
      <c r="C10" s="31" t="n"/>
      <c r="D10" s="31" t="n"/>
      <c r="E10" s="121" t="n"/>
      <c r="F10" s="174" t="n"/>
      <c r="G10" s="144" t="n"/>
      <c r="H10" s="143" t="n"/>
      <c r="I10" s="60" t="n"/>
      <c r="J10" s="86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126" t="n"/>
      <c r="AD10" s="128" t="n"/>
      <c r="AE10" s="127" t="n"/>
    </row>
    <row r="11" ht="15.75" customHeight="1" thickBot="1">
      <c r="A11" s="183" t="n"/>
      <c r="B11" s="119" t="n"/>
      <c r="C11" s="120" t="n"/>
      <c r="D11" s="120" t="n"/>
      <c r="E11" s="121" t="n"/>
      <c r="F11" s="174" t="n"/>
      <c r="G11" s="144" t="n"/>
      <c r="H11" s="142" t="n"/>
      <c r="I11" s="96" t="n"/>
      <c r="J11" s="115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  <c r="AA11" s="96" t="n"/>
      <c r="AB11" s="96" t="n"/>
      <c r="AC11" s="138" t="n"/>
      <c r="AD11" s="139" t="n"/>
      <c r="AE11" s="140" t="n"/>
    </row>
    <row r="12" ht="15.75" customHeight="1" thickBot="1">
      <c r="A12" s="146" t="n"/>
      <c r="B12" s="118" t="n"/>
      <c r="C12" s="36" t="n"/>
      <c r="D12" s="36" t="n"/>
      <c r="E12" s="135" t="n"/>
      <c r="F12" s="174" t="n"/>
      <c r="G12" s="144" t="n"/>
      <c r="H12" s="143" t="n"/>
      <c r="I12" s="65" t="n"/>
      <c r="J12" s="111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65" t="n"/>
      <c r="Z12" s="65" t="n"/>
      <c r="AA12" s="65" t="n"/>
      <c r="AB12" s="65" t="n"/>
      <c r="AC12" s="129" t="n"/>
      <c r="AD12" s="130" t="n"/>
      <c r="AE12" s="131" t="n"/>
    </row>
    <row r="13" ht="15.75" customHeight="1" thickBot="1">
      <c r="A13" s="182" t="n"/>
      <c r="B13" s="19" t="n"/>
      <c r="C13" s="31" t="n"/>
      <c r="D13" s="31" t="n"/>
      <c r="E13" s="121" t="n"/>
      <c r="F13" s="174" t="n"/>
      <c r="G13" s="144" t="n"/>
      <c r="H13" s="143" t="n"/>
      <c r="I13" s="60" t="n"/>
      <c r="J13" s="86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126" t="n"/>
      <c r="AD13" s="128" t="n"/>
      <c r="AE13" s="127" t="n"/>
    </row>
    <row r="14" ht="15.75" customHeight="1" thickBot="1">
      <c r="A14" s="183" t="n"/>
      <c r="B14" s="119" t="n"/>
      <c r="C14" s="120" t="n"/>
      <c r="D14" s="120" t="n"/>
      <c r="E14" s="121" t="n"/>
      <c r="F14" s="174" t="n"/>
      <c r="G14" s="144" t="n"/>
      <c r="H14" s="142" t="n"/>
      <c r="I14" s="96" t="n"/>
      <c r="J14" s="115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  <c r="AA14" s="96" t="n"/>
      <c r="AB14" s="96" t="n"/>
      <c r="AC14" s="138" t="n"/>
      <c r="AD14" s="139" t="n"/>
      <c r="AE14" s="140" t="n"/>
    </row>
    <row r="15" ht="15.75" customHeight="1" thickBot="1">
      <c r="A15" s="146" t="n"/>
      <c r="B15" s="118" t="n"/>
      <c r="C15" s="36" t="n"/>
      <c r="D15" s="36" t="n"/>
      <c r="E15" s="135" t="n"/>
      <c r="F15" s="174" t="n"/>
      <c r="G15" s="144" t="n"/>
      <c r="H15" s="143" t="n"/>
      <c r="I15" s="65" t="n"/>
      <c r="J15" s="111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65" t="n"/>
      <c r="Z15" s="65" t="n"/>
      <c r="AA15" s="65" t="n"/>
      <c r="AB15" s="65" t="n"/>
      <c r="AC15" s="129" t="n"/>
      <c r="AD15" s="130" t="n"/>
      <c r="AE15" s="131" t="n"/>
    </row>
    <row r="16" ht="15.75" customHeight="1" thickBot="1">
      <c r="A16" s="182" t="n"/>
      <c r="B16" s="19" t="n"/>
      <c r="C16" s="31" t="n"/>
      <c r="D16" s="31" t="n"/>
      <c r="E16" s="121" t="n"/>
      <c r="F16" s="174" t="n"/>
      <c r="G16" s="144" t="n"/>
      <c r="H16" s="143" t="n"/>
      <c r="I16" s="60" t="n"/>
      <c r="J16" s="86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126" t="n"/>
      <c r="AD16" s="128" t="n"/>
      <c r="AE16" s="127" t="n"/>
    </row>
    <row r="17" ht="15.75" customHeight="1" thickBot="1">
      <c r="A17" s="183" t="n"/>
      <c r="B17" s="119" t="n"/>
      <c r="C17" s="120" t="n"/>
      <c r="D17" s="120" t="n"/>
      <c r="E17" s="121" t="n"/>
      <c r="F17" s="174" t="n"/>
      <c r="G17" s="144" t="n"/>
      <c r="H17" s="142" t="n"/>
      <c r="I17" s="96" t="n"/>
      <c r="J17" s="115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  <c r="AA17" s="96" t="n"/>
      <c r="AB17" s="96" t="n"/>
      <c r="AC17" s="138" t="n"/>
      <c r="AD17" s="139" t="n"/>
      <c r="AE17" s="140" t="n"/>
    </row>
    <row r="18" ht="15.75" customHeight="1" thickBot="1">
      <c r="H18" s="124" t="n"/>
      <c r="I18" s="123" t="n"/>
      <c r="J18" s="92" t="n"/>
      <c r="K18" s="92" t="n"/>
      <c r="L18" s="92" t="n"/>
      <c r="M18" s="92" t="n"/>
      <c r="N18" s="92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</row>
  </sheetData>
  <mergeCells count="5">
    <mergeCell ref="A12:A14"/>
    <mergeCell ref="A3:A5"/>
    <mergeCell ref="A15:A17"/>
    <mergeCell ref="A6:A8"/>
    <mergeCell ref="A9:A11"/>
  </mergeCells>
  <pageMargins left="0.511811024" right="0.511811024" top="0.787401575" bottom="0.787401575" header="0.31496062" footer="0.31496062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selection activeCell="A1" sqref="A1"/>
    </sheetView>
  </sheetViews>
  <sheetFormatPr baseColWidth="8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 thickBot="1">
      <c r="A1" s="117" t="inlineStr">
        <is>
          <t>DATAS</t>
        </is>
      </c>
      <c r="B1" s="17" t="inlineStr">
        <is>
          <t>CONFRONTOS</t>
        </is>
      </c>
      <c r="C1" s="15" t="inlineStr">
        <is>
          <t>TIME A</t>
        </is>
      </c>
      <c r="D1" s="15" t="inlineStr">
        <is>
          <t>TIME B</t>
        </is>
      </c>
      <c r="E1" s="16" t="inlineStr">
        <is>
          <t>PLACAR</t>
        </is>
      </c>
      <c r="F1" s="173" t="inlineStr">
        <is>
          <t>Penalti</t>
        </is>
      </c>
      <c r="G1" s="141" t="inlineStr">
        <is>
          <t>Prorrogação</t>
        </is>
      </c>
      <c r="H1" s="125" t="n"/>
      <c r="I1" s="91" t="inlineStr">
        <is>
          <t>Alex</t>
        </is>
      </c>
      <c r="J1" s="132" t="inlineStr">
        <is>
          <t>Bonfim</t>
        </is>
      </c>
      <c r="K1" s="91" t="inlineStr">
        <is>
          <t>Christian</t>
        </is>
      </c>
      <c r="L1" s="91" t="inlineStr">
        <is>
          <t>Cleiton</t>
        </is>
      </c>
      <c r="M1" s="91" t="inlineStr">
        <is>
          <t>Daniel</t>
        </is>
      </c>
      <c r="N1" s="91" t="inlineStr">
        <is>
          <t>David</t>
        </is>
      </c>
      <c r="O1" s="91" t="inlineStr">
        <is>
          <t>Douglas</t>
        </is>
      </c>
      <c r="P1" s="91" t="inlineStr">
        <is>
          <t>Dunga</t>
        </is>
      </c>
      <c r="Q1" s="91" t="inlineStr">
        <is>
          <t>Felipe</t>
        </is>
      </c>
      <c r="R1" s="91" t="inlineStr">
        <is>
          <t>Gabriel</t>
        </is>
      </c>
      <c r="S1" s="91" t="inlineStr">
        <is>
          <t>Giliarde</t>
        </is>
      </c>
      <c r="T1" s="91" t="inlineStr">
        <is>
          <t>Gustavo</t>
        </is>
      </c>
      <c r="U1" s="91" t="inlineStr">
        <is>
          <t>Gustavo Lima</t>
        </is>
      </c>
      <c r="V1" s="91" t="inlineStr">
        <is>
          <t>Heitor</t>
        </is>
      </c>
      <c r="W1" s="91" t="inlineStr">
        <is>
          <t>Juninho</t>
        </is>
      </c>
      <c r="X1" s="91" t="inlineStr">
        <is>
          <t>Leonardo</t>
        </is>
      </c>
      <c r="Y1" s="91" t="inlineStr">
        <is>
          <t>Patrick</t>
        </is>
      </c>
      <c r="Z1" s="91" t="inlineStr">
        <is>
          <t>Rasta</t>
        </is>
      </c>
      <c r="AA1" s="91" t="inlineStr">
        <is>
          <t>Renan</t>
        </is>
      </c>
      <c r="AB1" s="91" t="inlineStr">
        <is>
          <t>Sanches</t>
        </is>
      </c>
      <c r="AC1" s="133" t="inlineStr">
        <is>
          <t>Gols A</t>
        </is>
      </c>
      <c r="AD1" s="134" t="inlineStr">
        <is>
          <t>Gols B</t>
        </is>
      </c>
      <c r="AE1" s="69" t="inlineStr">
        <is>
          <t>RESULTADO</t>
        </is>
      </c>
    </row>
    <row r="2" ht="15.75" customHeight="1" thickBot="1">
      <c r="A2" s="122" t="n"/>
      <c r="B2" s="119" t="n"/>
      <c r="C2" s="120" t="n"/>
      <c r="D2" s="120" t="n"/>
      <c r="E2" s="135" t="n"/>
      <c r="F2" s="174" t="n"/>
      <c r="G2" s="144" t="n"/>
      <c r="H2" s="142" t="n"/>
      <c r="I2" s="136" t="n"/>
      <c r="J2" s="137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  <c r="AC2" s="66" t="n"/>
      <c r="AD2" s="73" t="n"/>
      <c r="AE2" s="71" t="n"/>
    </row>
    <row r="3" ht="15.75" customHeight="1" thickBot="1">
      <c r="A3" s="146" t="n"/>
      <c r="B3" s="118" t="n"/>
      <c r="C3" s="36" t="n"/>
      <c r="D3" s="36" t="n"/>
      <c r="E3" s="135" t="n"/>
      <c r="F3" s="174" t="n"/>
      <c r="G3" s="144" t="n"/>
      <c r="H3" s="143" t="n"/>
      <c r="I3" s="65" t="n"/>
      <c r="J3" s="111" t="n"/>
      <c r="K3" s="65" t="n"/>
      <c r="L3" s="65" t="n"/>
      <c r="M3" s="65" t="n"/>
      <c r="N3" s="65" t="n"/>
      <c r="O3" s="65" t="n"/>
      <c r="P3" s="65" t="n"/>
      <c r="Q3" s="65" t="n"/>
      <c r="R3" s="65" t="n"/>
      <c r="S3" s="65" t="n"/>
      <c r="T3" s="65" t="n"/>
      <c r="U3" s="65" t="n"/>
      <c r="V3" s="65" t="n"/>
      <c r="W3" s="65" t="n"/>
      <c r="X3" s="65" t="n"/>
      <c r="Y3" s="65" t="n"/>
      <c r="Z3" s="65" t="n"/>
      <c r="AA3" s="65" t="n"/>
      <c r="AB3" s="65" t="n"/>
      <c r="AC3" s="129" t="n"/>
      <c r="AD3" s="130" t="n"/>
      <c r="AE3" s="131" t="n"/>
    </row>
    <row r="4" ht="15.75" customHeight="1" thickBot="1">
      <c r="A4" s="182" t="n"/>
      <c r="B4" s="19" t="n"/>
      <c r="C4" s="31" t="n"/>
      <c r="D4" s="31" t="n"/>
      <c r="E4" s="121" t="n"/>
      <c r="F4" s="174" t="n"/>
      <c r="G4" s="144" t="n"/>
      <c r="H4" s="143" t="n"/>
      <c r="I4" s="60" t="n"/>
      <c r="J4" s="86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  <c r="Z4" s="60" t="n"/>
      <c r="AA4" s="60" t="n"/>
      <c r="AB4" s="60" t="n"/>
      <c r="AC4" s="126" t="n"/>
      <c r="AD4" s="128" t="n"/>
      <c r="AE4" s="127" t="n"/>
    </row>
    <row r="5" ht="15.75" customHeight="1" thickBot="1">
      <c r="A5" s="183" t="n"/>
      <c r="B5" s="119" t="n"/>
      <c r="C5" s="120" t="n"/>
      <c r="D5" s="120" t="n"/>
      <c r="E5" s="121" t="n"/>
      <c r="F5" s="174" t="n"/>
      <c r="G5" s="144" t="n"/>
      <c r="H5" s="142" t="n"/>
      <c r="I5" s="96" t="n"/>
      <c r="J5" s="115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  <c r="AA5" s="96" t="n"/>
      <c r="AB5" s="96" t="n"/>
      <c r="AC5" s="138" t="n"/>
      <c r="AD5" s="139" t="n"/>
      <c r="AE5" s="140" t="n"/>
    </row>
    <row r="6" ht="15.75" customHeight="1" thickBot="1">
      <c r="A6" s="146" t="n"/>
      <c r="B6" s="118" t="n"/>
      <c r="C6" s="36" t="n"/>
      <c r="D6" s="36" t="n"/>
      <c r="E6" s="135" t="n"/>
      <c r="F6" s="174" t="n"/>
      <c r="G6" s="144" t="n"/>
      <c r="H6" s="143" t="n"/>
      <c r="I6" s="65" t="n"/>
      <c r="J6" s="111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65" t="n"/>
      <c r="Z6" s="65" t="n"/>
      <c r="AA6" s="65" t="n"/>
      <c r="AB6" s="65" t="n"/>
      <c r="AC6" s="129" t="n"/>
      <c r="AD6" s="130" t="n"/>
      <c r="AE6" s="131" t="n"/>
    </row>
    <row r="7" ht="15.75" customHeight="1" thickBot="1">
      <c r="A7" s="182" t="n"/>
      <c r="B7" s="19" t="n"/>
      <c r="C7" s="31" t="n"/>
      <c r="D7" s="31" t="n"/>
      <c r="E7" s="121" t="n"/>
      <c r="F7" s="174" t="n"/>
      <c r="G7" s="144" t="n"/>
      <c r="H7" s="143" t="n"/>
      <c r="I7" s="60" t="n"/>
      <c r="J7" s="86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126" t="n"/>
      <c r="AD7" s="128" t="n"/>
      <c r="AE7" s="127" t="n"/>
    </row>
    <row r="8" ht="15.75" customHeight="1" thickBot="1">
      <c r="A8" s="183" t="n"/>
      <c r="B8" s="119" t="n"/>
      <c r="C8" s="120" t="n"/>
      <c r="D8" s="120" t="n"/>
      <c r="E8" s="121" t="n"/>
      <c r="F8" s="174" t="n"/>
      <c r="G8" s="144" t="n"/>
      <c r="H8" s="142" t="n"/>
      <c r="I8" s="96" t="n"/>
      <c r="J8" s="115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  <c r="AA8" s="96" t="n"/>
      <c r="AB8" s="96" t="n"/>
      <c r="AC8" s="138" t="n"/>
      <c r="AD8" s="139" t="n"/>
      <c r="AE8" s="140" t="n"/>
    </row>
    <row r="9" ht="15.75" customHeight="1" thickBot="1">
      <c r="A9" s="146" t="n"/>
      <c r="B9" s="118" t="n"/>
      <c r="C9" s="36" t="n"/>
      <c r="D9" s="36" t="n"/>
      <c r="E9" s="135" t="n"/>
      <c r="F9" s="174" t="n"/>
      <c r="G9" s="144" t="n"/>
      <c r="H9" s="143" t="n"/>
      <c r="I9" s="65" t="n"/>
      <c r="J9" s="111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  <c r="AA9" s="65" t="n"/>
      <c r="AB9" s="65" t="n"/>
      <c r="AC9" s="129" t="n"/>
      <c r="AD9" s="130" t="n"/>
      <c r="AE9" s="131" t="n"/>
    </row>
    <row r="10" ht="15.75" customHeight="1" thickBot="1">
      <c r="A10" s="182" t="n"/>
      <c r="B10" s="19" t="n"/>
      <c r="C10" s="31" t="n"/>
      <c r="D10" s="31" t="n"/>
      <c r="E10" s="121" t="n"/>
      <c r="F10" s="174" t="n"/>
      <c r="G10" s="144" t="n"/>
      <c r="H10" s="143" t="n"/>
      <c r="I10" s="60" t="n"/>
      <c r="J10" s="86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126" t="n"/>
      <c r="AD10" s="128" t="n"/>
      <c r="AE10" s="127" t="n"/>
    </row>
    <row r="11" ht="15.75" customHeight="1" thickBot="1">
      <c r="A11" s="183" t="n"/>
      <c r="B11" s="119" t="n"/>
      <c r="C11" s="120" t="n"/>
      <c r="D11" s="120" t="n"/>
      <c r="E11" s="121" t="n"/>
      <c r="F11" s="174" t="n"/>
      <c r="G11" s="144" t="n"/>
      <c r="H11" s="142" t="n"/>
      <c r="I11" s="96" t="n"/>
      <c r="J11" s="115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  <c r="AA11" s="96" t="n"/>
      <c r="AB11" s="96" t="n"/>
      <c r="AC11" s="138" t="n"/>
      <c r="AD11" s="139" t="n"/>
      <c r="AE11" s="140" t="n"/>
    </row>
    <row r="12" ht="15.75" customHeight="1" thickBot="1">
      <c r="A12" s="146" t="n"/>
      <c r="B12" s="118" t="n"/>
      <c r="C12" s="36" t="n"/>
      <c r="D12" s="36" t="n"/>
      <c r="E12" s="135" t="n"/>
      <c r="F12" s="174" t="n"/>
      <c r="G12" s="144" t="n"/>
      <c r="H12" s="143" t="n"/>
      <c r="I12" s="65" t="n"/>
      <c r="J12" s="111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65" t="n"/>
      <c r="Z12" s="65" t="n"/>
      <c r="AA12" s="65" t="n"/>
      <c r="AB12" s="65" t="n"/>
      <c r="AC12" s="129" t="n"/>
      <c r="AD12" s="130" t="n"/>
      <c r="AE12" s="131" t="n"/>
    </row>
    <row r="13" ht="15.75" customHeight="1" thickBot="1">
      <c r="A13" s="182" t="n"/>
      <c r="B13" s="19" t="n"/>
      <c r="C13" s="31" t="n"/>
      <c r="D13" s="31" t="n"/>
      <c r="E13" s="121" t="n"/>
      <c r="F13" s="174" t="n"/>
      <c r="G13" s="144" t="n"/>
      <c r="H13" s="143" t="n"/>
      <c r="I13" s="60" t="n"/>
      <c r="J13" s="86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126" t="n"/>
      <c r="AD13" s="128" t="n"/>
      <c r="AE13" s="127" t="n"/>
    </row>
    <row r="14" ht="15.75" customHeight="1" thickBot="1">
      <c r="A14" s="183" t="n"/>
      <c r="B14" s="119" t="n"/>
      <c r="C14" s="120" t="n"/>
      <c r="D14" s="120" t="n"/>
      <c r="E14" s="121" t="n"/>
      <c r="F14" s="174" t="n"/>
      <c r="G14" s="144" t="n"/>
      <c r="H14" s="142" t="n"/>
      <c r="I14" s="96" t="n"/>
      <c r="J14" s="115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  <c r="AA14" s="96" t="n"/>
      <c r="AB14" s="96" t="n"/>
      <c r="AC14" s="138" t="n"/>
      <c r="AD14" s="139" t="n"/>
      <c r="AE14" s="140" t="n"/>
    </row>
    <row r="15" ht="15.75" customHeight="1" thickBot="1">
      <c r="A15" s="146" t="n"/>
      <c r="B15" s="118" t="n"/>
      <c r="C15" s="36" t="n"/>
      <c r="D15" s="36" t="n"/>
      <c r="E15" s="135" t="n"/>
      <c r="F15" s="174" t="n"/>
      <c r="G15" s="144" t="n"/>
      <c r="H15" s="143" t="n"/>
      <c r="I15" s="65" t="n"/>
      <c r="J15" s="111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65" t="n"/>
      <c r="Z15" s="65" t="n"/>
      <c r="AA15" s="65" t="n"/>
      <c r="AB15" s="65" t="n"/>
      <c r="AC15" s="129" t="n"/>
      <c r="AD15" s="130" t="n"/>
      <c r="AE15" s="131" t="n"/>
    </row>
    <row r="16" ht="15.75" customHeight="1" thickBot="1">
      <c r="A16" s="182" t="n"/>
      <c r="B16" s="19" t="n"/>
      <c r="C16" s="31" t="n"/>
      <c r="D16" s="31" t="n"/>
      <c r="E16" s="121" t="n"/>
      <c r="F16" s="174" t="n"/>
      <c r="G16" s="144" t="n"/>
      <c r="H16" s="143" t="n"/>
      <c r="I16" s="60" t="n"/>
      <c r="J16" s="86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126" t="n"/>
      <c r="AD16" s="128" t="n"/>
      <c r="AE16" s="127" t="n"/>
    </row>
    <row r="17" ht="15.75" customHeight="1" thickBot="1">
      <c r="A17" s="183" t="n"/>
      <c r="B17" s="119" t="n"/>
      <c r="C17" s="120" t="n"/>
      <c r="D17" s="120" t="n"/>
      <c r="E17" s="121" t="n"/>
      <c r="F17" s="174" t="n"/>
      <c r="G17" s="144" t="n"/>
      <c r="H17" s="142" t="n"/>
      <c r="I17" s="96" t="n"/>
      <c r="J17" s="115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  <c r="AA17" s="96" t="n"/>
      <c r="AB17" s="96" t="n"/>
      <c r="AC17" s="138" t="n"/>
      <c r="AD17" s="139" t="n"/>
      <c r="AE17" s="140" t="n"/>
    </row>
    <row r="18" ht="15.75" customHeight="1" thickBot="1">
      <c r="H18" s="124" t="n"/>
      <c r="I18" s="123" t="n"/>
      <c r="J18" s="92" t="n"/>
      <c r="K18" s="92" t="n"/>
      <c r="L18" s="92" t="n"/>
      <c r="M18" s="92" t="n"/>
      <c r="N18" s="92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</row>
  </sheetData>
  <mergeCells count="5">
    <mergeCell ref="A12:A14"/>
    <mergeCell ref="A3:A5"/>
    <mergeCell ref="A15:A17"/>
    <mergeCell ref="A6:A8"/>
    <mergeCell ref="A9:A11"/>
  </mergeCells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selection activeCell="A1" sqref="A1"/>
    </sheetView>
  </sheetViews>
  <sheetFormatPr baseColWidth="8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 thickBot="1">
      <c r="A1" s="117" t="inlineStr">
        <is>
          <t>DATAS</t>
        </is>
      </c>
      <c r="B1" s="17" t="inlineStr">
        <is>
          <t>CONFRONTOS</t>
        </is>
      </c>
      <c r="C1" s="15" t="inlineStr">
        <is>
          <t>TIME A</t>
        </is>
      </c>
      <c r="D1" s="15" t="inlineStr">
        <is>
          <t>TIME B</t>
        </is>
      </c>
      <c r="E1" s="16" t="inlineStr">
        <is>
          <t>PLACAR</t>
        </is>
      </c>
      <c r="F1" s="173" t="inlineStr">
        <is>
          <t>Penalti</t>
        </is>
      </c>
      <c r="G1" s="141" t="inlineStr">
        <is>
          <t>Prorrogação</t>
        </is>
      </c>
      <c r="H1" s="125" t="n"/>
      <c r="I1" s="91" t="inlineStr">
        <is>
          <t>Alex</t>
        </is>
      </c>
      <c r="J1" s="132" t="inlineStr">
        <is>
          <t>Bonfim</t>
        </is>
      </c>
      <c r="K1" s="91" t="inlineStr">
        <is>
          <t>Christian</t>
        </is>
      </c>
      <c r="L1" s="91" t="inlineStr">
        <is>
          <t>Cleiton</t>
        </is>
      </c>
      <c r="M1" s="91" t="inlineStr">
        <is>
          <t>Daniel</t>
        </is>
      </c>
      <c r="N1" s="91" t="inlineStr">
        <is>
          <t>David</t>
        </is>
      </c>
      <c r="O1" s="91" t="inlineStr">
        <is>
          <t>Douglas</t>
        </is>
      </c>
      <c r="P1" s="91" t="inlineStr">
        <is>
          <t>Dunga</t>
        </is>
      </c>
      <c r="Q1" s="91" t="inlineStr">
        <is>
          <t>Felipe</t>
        </is>
      </c>
      <c r="R1" s="91" t="inlineStr">
        <is>
          <t>Gabriel</t>
        </is>
      </c>
      <c r="S1" s="91" t="inlineStr">
        <is>
          <t>Giliarde</t>
        </is>
      </c>
      <c r="T1" s="91" t="inlineStr">
        <is>
          <t>Gustavo</t>
        </is>
      </c>
      <c r="U1" s="91" t="inlineStr">
        <is>
          <t>Gustavo Lima</t>
        </is>
      </c>
      <c r="V1" s="91" t="inlineStr">
        <is>
          <t>Heitor</t>
        </is>
      </c>
      <c r="W1" s="91" t="inlineStr">
        <is>
          <t>Juninho</t>
        </is>
      </c>
      <c r="X1" s="91" t="inlineStr">
        <is>
          <t>Leonardo</t>
        </is>
      </c>
      <c r="Y1" s="91" t="inlineStr">
        <is>
          <t>Patrick</t>
        </is>
      </c>
      <c r="Z1" s="91" t="inlineStr">
        <is>
          <t>Rasta</t>
        </is>
      </c>
      <c r="AA1" s="91" t="inlineStr">
        <is>
          <t>Renan</t>
        </is>
      </c>
      <c r="AB1" s="91" t="inlineStr">
        <is>
          <t>Sanches</t>
        </is>
      </c>
      <c r="AC1" s="133" t="inlineStr">
        <is>
          <t>Gols A</t>
        </is>
      </c>
      <c r="AD1" s="134" t="inlineStr">
        <is>
          <t>Gols B</t>
        </is>
      </c>
      <c r="AE1" s="69" t="inlineStr">
        <is>
          <t>RESULTADO</t>
        </is>
      </c>
    </row>
    <row r="2" ht="15.75" customHeight="1" thickBot="1">
      <c r="A2" s="122" t="n"/>
      <c r="B2" s="119" t="n"/>
      <c r="C2" s="120" t="n"/>
      <c r="D2" s="120" t="n"/>
      <c r="E2" s="135" t="n"/>
      <c r="F2" s="174" t="n"/>
      <c r="G2" s="144" t="n"/>
      <c r="H2" s="142" t="n"/>
      <c r="I2" s="136" t="n"/>
      <c r="J2" s="137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  <c r="AC2" s="66" t="n"/>
      <c r="AD2" s="73" t="n"/>
      <c r="AE2" s="71" t="n"/>
    </row>
    <row r="3" ht="15.75" customHeight="1" thickBot="1">
      <c r="A3" s="146" t="n"/>
      <c r="B3" s="118" t="n"/>
      <c r="C3" s="36" t="n"/>
      <c r="D3" s="36" t="n"/>
      <c r="E3" s="135" t="n"/>
      <c r="F3" s="174" t="n"/>
      <c r="G3" s="144" t="n"/>
      <c r="H3" s="143" t="n"/>
      <c r="I3" s="65" t="n"/>
      <c r="J3" s="111" t="n"/>
      <c r="K3" s="65" t="n"/>
      <c r="L3" s="65" t="n"/>
      <c r="M3" s="65" t="n"/>
      <c r="N3" s="65" t="n"/>
      <c r="O3" s="65" t="n"/>
      <c r="P3" s="65" t="n"/>
      <c r="Q3" s="65" t="n"/>
      <c r="R3" s="65" t="n"/>
      <c r="S3" s="65" t="n"/>
      <c r="T3" s="65" t="n"/>
      <c r="U3" s="65" t="n"/>
      <c r="V3" s="65" t="n"/>
      <c r="W3" s="65" t="n"/>
      <c r="X3" s="65" t="n"/>
      <c r="Y3" s="65" t="n"/>
      <c r="Z3" s="65" t="n"/>
      <c r="AA3" s="65" t="n"/>
      <c r="AB3" s="65" t="n"/>
      <c r="AC3" s="129" t="n"/>
      <c r="AD3" s="130" t="n"/>
      <c r="AE3" s="131" t="n"/>
    </row>
    <row r="4" ht="15.75" customHeight="1" thickBot="1">
      <c r="A4" s="182" t="n"/>
      <c r="B4" s="19" t="n"/>
      <c r="C4" s="31" t="n"/>
      <c r="D4" s="31" t="n"/>
      <c r="E4" s="121" t="n"/>
      <c r="F4" s="174" t="n"/>
      <c r="G4" s="144" t="n"/>
      <c r="H4" s="143" t="n"/>
      <c r="I4" s="60" t="n"/>
      <c r="J4" s="86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  <c r="Z4" s="60" t="n"/>
      <c r="AA4" s="60" t="n"/>
      <c r="AB4" s="60" t="n"/>
      <c r="AC4" s="126" t="n"/>
      <c r="AD4" s="128" t="n"/>
      <c r="AE4" s="127" t="n"/>
    </row>
    <row r="5" ht="15.75" customHeight="1" thickBot="1">
      <c r="A5" s="183" t="n"/>
      <c r="B5" s="119" t="n"/>
      <c r="C5" s="120" t="n"/>
      <c r="D5" s="120" t="n"/>
      <c r="E5" s="121" t="n"/>
      <c r="F5" s="174" t="n"/>
      <c r="G5" s="144" t="n"/>
      <c r="H5" s="142" t="n"/>
      <c r="I5" s="96" t="n"/>
      <c r="J5" s="115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  <c r="AA5" s="96" t="n"/>
      <c r="AB5" s="96" t="n"/>
      <c r="AC5" s="138" t="n"/>
      <c r="AD5" s="139" t="n"/>
      <c r="AE5" s="140" t="n"/>
    </row>
    <row r="6" ht="15.75" customHeight="1" thickBot="1">
      <c r="A6" s="146" t="n"/>
      <c r="B6" s="118" t="n"/>
      <c r="C6" s="36" t="n"/>
      <c r="D6" s="36" t="n"/>
      <c r="E6" s="135" t="n"/>
      <c r="F6" s="174" t="n"/>
      <c r="G6" s="144" t="n"/>
      <c r="H6" s="143" t="n"/>
      <c r="I6" s="65" t="n"/>
      <c r="J6" s="111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65" t="n"/>
      <c r="Z6" s="65" t="n"/>
      <c r="AA6" s="65" t="n"/>
      <c r="AB6" s="65" t="n"/>
      <c r="AC6" s="129" t="n"/>
      <c r="AD6" s="130" t="n"/>
      <c r="AE6" s="131" t="n"/>
    </row>
    <row r="7" ht="15.75" customHeight="1" thickBot="1">
      <c r="A7" s="182" t="n"/>
      <c r="B7" s="19" t="n"/>
      <c r="C7" s="31" t="n"/>
      <c r="D7" s="31" t="n"/>
      <c r="E7" s="121" t="n"/>
      <c r="F7" s="174" t="n"/>
      <c r="G7" s="144" t="n"/>
      <c r="H7" s="143" t="n"/>
      <c r="I7" s="60" t="n"/>
      <c r="J7" s="86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126" t="n"/>
      <c r="AD7" s="128" t="n"/>
      <c r="AE7" s="127" t="n"/>
    </row>
    <row r="8" ht="15.75" customHeight="1" thickBot="1">
      <c r="A8" s="183" t="n"/>
      <c r="B8" s="119" t="n"/>
      <c r="C8" s="120" t="n"/>
      <c r="D8" s="120" t="n"/>
      <c r="E8" s="121" t="n"/>
      <c r="F8" s="174" t="n"/>
      <c r="G8" s="144" t="n"/>
      <c r="H8" s="142" t="n"/>
      <c r="I8" s="96" t="n"/>
      <c r="J8" s="115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  <c r="AA8" s="96" t="n"/>
      <c r="AB8" s="96" t="n"/>
      <c r="AC8" s="138" t="n"/>
      <c r="AD8" s="139" t="n"/>
      <c r="AE8" s="140" t="n"/>
    </row>
    <row r="9" ht="15.75" customHeight="1" thickBot="1">
      <c r="A9" s="146" t="n"/>
      <c r="B9" s="118" t="n"/>
      <c r="C9" s="36" t="n"/>
      <c r="D9" s="36" t="n"/>
      <c r="E9" s="135" t="n"/>
      <c r="F9" s="174" t="n"/>
      <c r="G9" s="144" t="n"/>
      <c r="H9" s="143" t="n"/>
      <c r="I9" s="65" t="n"/>
      <c r="J9" s="111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  <c r="AA9" s="65" t="n"/>
      <c r="AB9" s="65" t="n"/>
      <c r="AC9" s="129" t="n"/>
      <c r="AD9" s="130" t="n"/>
      <c r="AE9" s="131" t="n"/>
    </row>
    <row r="10" ht="15.75" customHeight="1" thickBot="1">
      <c r="A10" s="182" t="n"/>
      <c r="B10" s="19" t="n"/>
      <c r="C10" s="31" t="n"/>
      <c r="D10" s="31" t="n"/>
      <c r="E10" s="121" t="n"/>
      <c r="F10" s="174" t="n"/>
      <c r="G10" s="144" t="n"/>
      <c r="H10" s="143" t="n"/>
      <c r="I10" s="60" t="n"/>
      <c r="J10" s="86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126" t="n"/>
      <c r="AD10" s="128" t="n"/>
      <c r="AE10" s="127" t="n"/>
    </row>
    <row r="11" ht="15.75" customHeight="1" thickBot="1">
      <c r="A11" s="183" t="n"/>
      <c r="B11" s="119" t="n"/>
      <c r="C11" s="120" t="n"/>
      <c r="D11" s="120" t="n"/>
      <c r="E11" s="121" t="n"/>
      <c r="F11" s="174" t="n"/>
      <c r="G11" s="144" t="n"/>
      <c r="H11" s="142" t="n"/>
      <c r="I11" s="96" t="n"/>
      <c r="J11" s="115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  <c r="AA11" s="96" t="n"/>
      <c r="AB11" s="96" t="n"/>
      <c r="AC11" s="138" t="n"/>
      <c r="AD11" s="139" t="n"/>
      <c r="AE11" s="140" t="n"/>
    </row>
    <row r="12" ht="15.75" customHeight="1" thickBot="1">
      <c r="A12" s="146" t="n"/>
      <c r="B12" s="118" t="n"/>
      <c r="C12" s="36" t="n"/>
      <c r="D12" s="36" t="n"/>
      <c r="E12" s="135" t="n"/>
      <c r="F12" s="174" t="n"/>
      <c r="G12" s="144" t="n"/>
      <c r="H12" s="143" t="n"/>
      <c r="I12" s="65" t="n"/>
      <c r="J12" s="111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65" t="n"/>
      <c r="Z12" s="65" t="n"/>
      <c r="AA12" s="65" t="n"/>
      <c r="AB12" s="65" t="n"/>
      <c r="AC12" s="129" t="n"/>
      <c r="AD12" s="130" t="n"/>
      <c r="AE12" s="131" t="n"/>
    </row>
    <row r="13" ht="15.75" customHeight="1" thickBot="1">
      <c r="A13" s="182" t="n"/>
      <c r="B13" s="19" t="n"/>
      <c r="C13" s="31" t="n"/>
      <c r="D13" s="31" t="n"/>
      <c r="E13" s="121" t="n"/>
      <c r="F13" s="174" t="n"/>
      <c r="G13" s="144" t="n"/>
      <c r="H13" s="143" t="n"/>
      <c r="I13" s="60" t="n"/>
      <c r="J13" s="86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126" t="n"/>
      <c r="AD13" s="128" t="n"/>
      <c r="AE13" s="127" t="n"/>
    </row>
    <row r="14" ht="15.75" customHeight="1" thickBot="1">
      <c r="A14" s="183" t="n"/>
      <c r="B14" s="119" t="n"/>
      <c r="C14" s="120" t="n"/>
      <c r="D14" s="120" t="n"/>
      <c r="E14" s="121" t="n"/>
      <c r="F14" s="174" t="n"/>
      <c r="G14" s="144" t="n"/>
      <c r="H14" s="142" t="n"/>
      <c r="I14" s="96" t="n"/>
      <c r="J14" s="115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  <c r="AA14" s="96" t="n"/>
      <c r="AB14" s="96" t="n"/>
      <c r="AC14" s="138" t="n"/>
      <c r="AD14" s="139" t="n"/>
      <c r="AE14" s="140" t="n"/>
    </row>
    <row r="15" ht="15.75" customHeight="1" thickBot="1">
      <c r="A15" s="146" t="n"/>
      <c r="B15" s="118" t="n"/>
      <c r="C15" s="36" t="n"/>
      <c r="D15" s="36" t="n"/>
      <c r="E15" s="135" t="n"/>
      <c r="F15" s="174" t="n"/>
      <c r="G15" s="144" t="n"/>
      <c r="H15" s="143" t="n"/>
      <c r="I15" s="65" t="n"/>
      <c r="J15" s="111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65" t="n"/>
      <c r="Z15" s="65" t="n"/>
      <c r="AA15" s="65" t="n"/>
      <c r="AB15" s="65" t="n"/>
      <c r="AC15" s="129" t="n"/>
      <c r="AD15" s="130" t="n"/>
      <c r="AE15" s="131" t="n"/>
    </row>
    <row r="16" ht="15.75" customHeight="1" thickBot="1">
      <c r="A16" s="182" t="n"/>
      <c r="B16" s="19" t="n"/>
      <c r="C16" s="31" t="n"/>
      <c r="D16" s="31" t="n"/>
      <c r="E16" s="121" t="n"/>
      <c r="F16" s="174" t="n"/>
      <c r="G16" s="144" t="n"/>
      <c r="H16" s="143" t="n"/>
      <c r="I16" s="60" t="n"/>
      <c r="J16" s="86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126" t="n"/>
      <c r="AD16" s="128" t="n"/>
      <c r="AE16" s="127" t="n"/>
    </row>
    <row r="17" ht="15.75" customHeight="1" thickBot="1">
      <c r="A17" s="183" t="n"/>
      <c r="B17" s="119" t="n"/>
      <c r="C17" s="120" t="n"/>
      <c r="D17" s="120" t="n"/>
      <c r="E17" s="121" t="n"/>
      <c r="F17" s="174" t="n"/>
      <c r="G17" s="144" t="n"/>
      <c r="H17" s="142" t="n"/>
      <c r="I17" s="96" t="n"/>
      <c r="J17" s="115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  <c r="AA17" s="96" t="n"/>
      <c r="AB17" s="96" t="n"/>
      <c r="AC17" s="138" t="n"/>
      <c r="AD17" s="139" t="n"/>
      <c r="AE17" s="140" t="n"/>
    </row>
    <row r="18" ht="15.75" customHeight="1" thickBot="1">
      <c r="H18" s="124" t="n"/>
      <c r="I18" s="123" t="n"/>
      <c r="J18" s="92" t="n"/>
      <c r="K18" s="92" t="n"/>
      <c r="L18" s="92" t="n"/>
      <c r="M18" s="92" t="n"/>
      <c r="N18" s="92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</row>
  </sheetData>
  <mergeCells count="5">
    <mergeCell ref="A12:A14"/>
    <mergeCell ref="A3:A5"/>
    <mergeCell ref="A15:A17"/>
    <mergeCell ref="A6:A8"/>
    <mergeCell ref="A9:A11"/>
  </mergeCells>
  <pageMargins left="0.511811024" right="0.511811024" top="0.787401575" bottom="0.787401575" header="0.31496062" footer="0.31496062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selection activeCell="A1" sqref="A1"/>
    </sheetView>
  </sheetViews>
  <sheetFormatPr baseColWidth="8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 thickBot="1">
      <c r="A1" s="117" t="inlineStr">
        <is>
          <t>DATAS</t>
        </is>
      </c>
      <c r="B1" s="17" t="inlineStr">
        <is>
          <t>CONFRONTOS</t>
        </is>
      </c>
      <c r="C1" s="15" t="inlineStr">
        <is>
          <t>TIME A</t>
        </is>
      </c>
      <c r="D1" s="15" t="inlineStr">
        <is>
          <t>TIME B</t>
        </is>
      </c>
      <c r="E1" s="16" t="inlineStr">
        <is>
          <t>PLACAR</t>
        </is>
      </c>
      <c r="F1" s="173" t="inlineStr">
        <is>
          <t>Penalti</t>
        </is>
      </c>
      <c r="G1" s="141" t="inlineStr">
        <is>
          <t>Prorrogação</t>
        </is>
      </c>
      <c r="H1" s="125" t="n"/>
      <c r="I1" s="91" t="inlineStr">
        <is>
          <t>Alex</t>
        </is>
      </c>
      <c r="J1" s="132" t="inlineStr">
        <is>
          <t>Bonfim</t>
        </is>
      </c>
      <c r="K1" s="91" t="inlineStr">
        <is>
          <t>Christian</t>
        </is>
      </c>
      <c r="L1" s="91" t="inlineStr">
        <is>
          <t>Cleiton</t>
        </is>
      </c>
      <c r="M1" s="91" t="inlineStr">
        <is>
          <t>Daniel</t>
        </is>
      </c>
      <c r="N1" s="91" t="inlineStr">
        <is>
          <t>David</t>
        </is>
      </c>
      <c r="O1" s="91" t="inlineStr">
        <is>
          <t>Douglas</t>
        </is>
      </c>
      <c r="P1" s="91" t="inlineStr">
        <is>
          <t>Dunga</t>
        </is>
      </c>
      <c r="Q1" s="91" t="inlineStr">
        <is>
          <t>Felipe</t>
        </is>
      </c>
      <c r="R1" s="91" t="inlineStr">
        <is>
          <t>Gabriel</t>
        </is>
      </c>
      <c r="S1" s="91" t="inlineStr">
        <is>
          <t>Giliarde</t>
        </is>
      </c>
      <c r="T1" s="91" t="inlineStr">
        <is>
          <t>Gustavo</t>
        </is>
      </c>
      <c r="U1" s="91" t="inlineStr">
        <is>
          <t>Gustavo Lima</t>
        </is>
      </c>
      <c r="V1" s="91" t="inlineStr">
        <is>
          <t>Heitor</t>
        </is>
      </c>
      <c r="W1" s="91" t="inlineStr">
        <is>
          <t>Juninho</t>
        </is>
      </c>
      <c r="X1" s="91" t="inlineStr">
        <is>
          <t>Leonardo</t>
        </is>
      </c>
      <c r="Y1" s="91" t="inlineStr">
        <is>
          <t>Patrick</t>
        </is>
      </c>
      <c r="Z1" s="91" t="inlineStr">
        <is>
          <t>Rasta</t>
        </is>
      </c>
      <c r="AA1" s="91" t="inlineStr">
        <is>
          <t>Renan</t>
        </is>
      </c>
      <c r="AB1" s="91" t="inlineStr">
        <is>
          <t>Sanches</t>
        </is>
      </c>
      <c r="AC1" s="133" t="inlineStr">
        <is>
          <t>Gols A</t>
        </is>
      </c>
      <c r="AD1" s="134" t="inlineStr">
        <is>
          <t>Gols B</t>
        </is>
      </c>
      <c r="AE1" s="69" t="inlineStr">
        <is>
          <t>RESULTADO</t>
        </is>
      </c>
    </row>
    <row r="2" ht="15.75" customHeight="1" thickBot="1">
      <c r="A2" s="122" t="n"/>
      <c r="B2" s="119" t="n"/>
      <c r="C2" s="120" t="n"/>
      <c r="D2" s="120" t="n"/>
      <c r="E2" s="135" t="n"/>
      <c r="F2" s="174" t="n"/>
      <c r="G2" s="144" t="n"/>
      <c r="H2" s="142" t="n"/>
      <c r="I2" s="136" t="n"/>
      <c r="J2" s="137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  <c r="AC2" s="66" t="n"/>
      <c r="AD2" s="73" t="n"/>
      <c r="AE2" s="71" t="n"/>
    </row>
    <row r="3" ht="15.75" customHeight="1" thickBot="1">
      <c r="A3" s="146" t="n"/>
      <c r="B3" s="118" t="n"/>
      <c r="C3" s="36" t="n"/>
      <c r="D3" s="36" t="n"/>
      <c r="E3" s="135" t="n"/>
      <c r="F3" s="174" t="n"/>
      <c r="G3" s="144" t="n"/>
      <c r="H3" s="143" t="n"/>
      <c r="I3" s="65" t="n"/>
      <c r="J3" s="111" t="n"/>
      <c r="K3" s="65" t="n"/>
      <c r="L3" s="65" t="n"/>
      <c r="M3" s="65" t="n"/>
      <c r="N3" s="65" t="n"/>
      <c r="O3" s="65" t="n"/>
      <c r="P3" s="65" t="n"/>
      <c r="Q3" s="65" t="n"/>
      <c r="R3" s="65" t="n"/>
      <c r="S3" s="65" t="n"/>
      <c r="T3" s="65" t="n"/>
      <c r="U3" s="65" t="n"/>
      <c r="V3" s="65" t="n"/>
      <c r="W3" s="65" t="n"/>
      <c r="X3" s="65" t="n"/>
      <c r="Y3" s="65" t="n"/>
      <c r="Z3" s="65" t="n"/>
      <c r="AA3" s="65" t="n"/>
      <c r="AB3" s="65" t="n"/>
      <c r="AC3" s="129" t="n"/>
      <c r="AD3" s="130" t="n"/>
      <c r="AE3" s="131" t="n"/>
    </row>
    <row r="4" ht="15.75" customHeight="1" thickBot="1">
      <c r="A4" s="182" t="n"/>
      <c r="B4" s="19" t="n"/>
      <c r="C4" s="31" t="n"/>
      <c r="D4" s="31" t="n"/>
      <c r="E4" s="121" t="n"/>
      <c r="F4" s="174" t="n"/>
      <c r="G4" s="144" t="n"/>
      <c r="H4" s="143" t="n"/>
      <c r="I4" s="60" t="n"/>
      <c r="J4" s="86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  <c r="Z4" s="60" t="n"/>
      <c r="AA4" s="60" t="n"/>
      <c r="AB4" s="60" t="n"/>
      <c r="AC4" s="126" t="n"/>
      <c r="AD4" s="128" t="n"/>
      <c r="AE4" s="127" t="n"/>
    </row>
    <row r="5" ht="15.75" customHeight="1" thickBot="1">
      <c r="A5" s="183" t="n"/>
      <c r="B5" s="119" t="n"/>
      <c r="C5" s="120" t="n"/>
      <c r="D5" s="120" t="n"/>
      <c r="E5" s="121" t="n"/>
      <c r="F5" s="174" t="n"/>
      <c r="G5" s="144" t="n"/>
      <c r="H5" s="142" t="n"/>
      <c r="I5" s="96" t="n"/>
      <c r="J5" s="115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  <c r="AA5" s="96" t="n"/>
      <c r="AB5" s="96" t="n"/>
      <c r="AC5" s="138" t="n"/>
      <c r="AD5" s="139" t="n"/>
      <c r="AE5" s="140" t="n"/>
    </row>
    <row r="6" ht="15.75" customHeight="1" thickBot="1">
      <c r="A6" s="146" t="n"/>
      <c r="B6" s="118" t="n"/>
      <c r="C6" s="36" t="n"/>
      <c r="D6" s="36" t="n"/>
      <c r="E6" s="135" t="n"/>
      <c r="F6" s="174" t="n"/>
      <c r="G6" s="144" t="n"/>
      <c r="H6" s="143" t="n"/>
      <c r="I6" s="65" t="n"/>
      <c r="J6" s="111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65" t="n"/>
      <c r="Z6" s="65" t="n"/>
      <c r="AA6" s="65" t="n"/>
      <c r="AB6" s="65" t="n"/>
      <c r="AC6" s="129" t="n"/>
      <c r="AD6" s="130" t="n"/>
      <c r="AE6" s="131" t="n"/>
    </row>
    <row r="7" ht="15.75" customHeight="1" thickBot="1">
      <c r="A7" s="182" t="n"/>
      <c r="B7" s="19" t="n"/>
      <c r="C7" s="31" t="n"/>
      <c r="D7" s="31" t="n"/>
      <c r="E7" s="121" t="n"/>
      <c r="F7" s="174" t="n"/>
      <c r="G7" s="144" t="n"/>
      <c r="H7" s="143" t="n"/>
      <c r="I7" s="60" t="n"/>
      <c r="J7" s="86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126" t="n"/>
      <c r="AD7" s="128" t="n"/>
      <c r="AE7" s="127" t="n"/>
    </row>
    <row r="8" ht="15.75" customHeight="1" thickBot="1">
      <c r="A8" s="183" t="n"/>
      <c r="B8" s="119" t="n"/>
      <c r="C8" s="120" t="n"/>
      <c r="D8" s="120" t="n"/>
      <c r="E8" s="121" t="n"/>
      <c r="F8" s="174" t="n"/>
      <c r="G8" s="144" t="n"/>
      <c r="H8" s="142" t="n"/>
      <c r="I8" s="96" t="n"/>
      <c r="J8" s="115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  <c r="AA8" s="96" t="n"/>
      <c r="AB8" s="96" t="n"/>
      <c r="AC8" s="138" t="n"/>
      <c r="AD8" s="139" t="n"/>
      <c r="AE8" s="140" t="n"/>
    </row>
    <row r="9" ht="15.75" customHeight="1" thickBot="1">
      <c r="A9" s="146" t="n"/>
      <c r="B9" s="118" t="n"/>
      <c r="C9" s="36" t="n"/>
      <c r="D9" s="36" t="n"/>
      <c r="E9" s="135" t="n"/>
      <c r="F9" s="174" t="n"/>
      <c r="G9" s="144" t="n"/>
      <c r="H9" s="143" t="n"/>
      <c r="I9" s="65" t="n"/>
      <c r="J9" s="111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  <c r="AA9" s="65" t="n"/>
      <c r="AB9" s="65" t="n"/>
      <c r="AC9" s="129" t="n"/>
      <c r="AD9" s="130" t="n"/>
      <c r="AE9" s="131" t="n"/>
    </row>
    <row r="10" ht="15.75" customHeight="1" thickBot="1">
      <c r="A10" s="182" t="n"/>
      <c r="B10" s="19" t="n"/>
      <c r="C10" s="31" t="n"/>
      <c r="D10" s="31" t="n"/>
      <c r="E10" s="121" t="n"/>
      <c r="F10" s="174" t="n"/>
      <c r="G10" s="144" t="n"/>
      <c r="H10" s="143" t="n"/>
      <c r="I10" s="60" t="n"/>
      <c r="J10" s="86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126" t="n"/>
      <c r="AD10" s="128" t="n"/>
      <c r="AE10" s="127" t="n"/>
    </row>
    <row r="11" ht="15.75" customHeight="1" thickBot="1">
      <c r="A11" s="183" t="n"/>
      <c r="B11" s="119" t="n"/>
      <c r="C11" s="120" t="n"/>
      <c r="D11" s="120" t="n"/>
      <c r="E11" s="121" t="n"/>
      <c r="F11" s="174" t="n"/>
      <c r="G11" s="144" t="n"/>
      <c r="H11" s="142" t="n"/>
      <c r="I11" s="96" t="n"/>
      <c r="J11" s="115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  <c r="AA11" s="96" t="n"/>
      <c r="AB11" s="96" t="n"/>
      <c r="AC11" s="138" t="n"/>
      <c r="AD11" s="139" t="n"/>
      <c r="AE11" s="140" t="n"/>
    </row>
    <row r="12" ht="15.75" customHeight="1" thickBot="1">
      <c r="A12" s="146" t="n"/>
      <c r="B12" s="118" t="n"/>
      <c r="C12" s="36" t="n"/>
      <c r="D12" s="36" t="n"/>
      <c r="E12" s="135" t="n"/>
      <c r="F12" s="174" t="n"/>
      <c r="G12" s="144" t="n"/>
      <c r="H12" s="143" t="n"/>
      <c r="I12" s="65" t="n"/>
      <c r="J12" s="111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65" t="n"/>
      <c r="Z12" s="65" t="n"/>
      <c r="AA12" s="65" t="n"/>
      <c r="AB12" s="65" t="n"/>
      <c r="AC12" s="129" t="n"/>
      <c r="AD12" s="130" t="n"/>
      <c r="AE12" s="131" t="n"/>
    </row>
    <row r="13" ht="15.75" customHeight="1" thickBot="1">
      <c r="A13" s="182" t="n"/>
      <c r="B13" s="19" t="n"/>
      <c r="C13" s="31" t="n"/>
      <c r="D13" s="31" t="n"/>
      <c r="E13" s="121" t="n"/>
      <c r="F13" s="174" t="n"/>
      <c r="G13" s="144" t="n"/>
      <c r="H13" s="143" t="n"/>
      <c r="I13" s="60" t="n"/>
      <c r="J13" s="86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126" t="n"/>
      <c r="AD13" s="128" t="n"/>
      <c r="AE13" s="127" t="n"/>
    </row>
    <row r="14" ht="15.75" customHeight="1" thickBot="1">
      <c r="A14" s="183" t="n"/>
      <c r="B14" s="119" t="n"/>
      <c r="C14" s="120" t="n"/>
      <c r="D14" s="120" t="n"/>
      <c r="E14" s="121" t="n"/>
      <c r="F14" s="174" t="n"/>
      <c r="G14" s="144" t="n"/>
      <c r="H14" s="142" t="n"/>
      <c r="I14" s="96" t="n"/>
      <c r="J14" s="115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  <c r="AA14" s="96" t="n"/>
      <c r="AB14" s="96" t="n"/>
      <c r="AC14" s="138" t="n"/>
      <c r="AD14" s="139" t="n"/>
      <c r="AE14" s="140" t="n"/>
    </row>
    <row r="15" ht="15.75" customHeight="1" thickBot="1">
      <c r="A15" s="146" t="n"/>
      <c r="B15" s="118" t="n"/>
      <c r="C15" s="36" t="n"/>
      <c r="D15" s="36" t="n"/>
      <c r="E15" s="135" t="n"/>
      <c r="F15" s="174" t="n"/>
      <c r="G15" s="144" t="n"/>
      <c r="H15" s="143" t="n"/>
      <c r="I15" s="65" t="n"/>
      <c r="J15" s="111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65" t="n"/>
      <c r="Z15" s="65" t="n"/>
      <c r="AA15" s="65" t="n"/>
      <c r="AB15" s="65" t="n"/>
      <c r="AC15" s="129" t="n"/>
      <c r="AD15" s="130" t="n"/>
      <c r="AE15" s="131" t="n"/>
    </row>
    <row r="16" ht="15.75" customHeight="1" thickBot="1">
      <c r="A16" s="182" t="n"/>
      <c r="B16" s="19" t="n"/>
      <c r="C16" s="31" t="n"/>
      <c r="D16" s="31" t="n"/>
      <c r="E16" s="121" t="n"/>
      <c r="F16" s="174" t="n"/>
      <c r="G16" s="144" t="n"/>
      <c r="H16" s="143" t="n"/>
      <c r="I16" s="60" t="n"/>
      <c r="J16" s="86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126" t="n"/>
      <c r="AD16" s="128" t="n"/>
      <c r="AE16" s="127" t="n"/>
    </row>
    <row r="17" ht="15.75" customHeight="1" thickBot="1">
      <c r="A17" s="183" t="n"/>
      <c r="B17" s="119" t="n"/>
      <c r="C17" s="120" t="n"/>
      <c r="D17" s="120" t="n"/>
      <c r="E17" s="121" t="n"/>
      <c r="F17" s="174" t="n"/>
      <c r="G17" s="144" t="n"/>
      <c r="H17" s="142" t="n"/>
      <c r="I17" s="96" t="n"/>
      <c r="J17" s="115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  <c r="AA17" s="96" t="n"/>
      <c r="AB17" s="96" t="n"/>
      <c r="AC17" s="138" t="n"/>
      <c r="AD17" s="139" t="n"/>
      <c r="AE17" s="140" t="n"/>
    </row>
    <row r="18" ht="15.75" customHeight="1" thickBot="1">
      <c r="H18" s="124" t="n"/>
      <c r="I18" s="123" t="n"/>
      <c r="J18" s="92" t="n"/>
      <c r="K18" s="92" t="n"/>
      <c r="L18" s="92" t="n"/>
      <c r="M18" s="92" t="n"/>
      <c r="N18" s="92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</row>
  </sheetData>
  <mergeCells count="5">
    <mergeCell ref="A12:A14"/>
    <mergeCell ref="A3:A5"/>
    <mergeCell ref="A15:A17"/>
    <mergeCell ref="A6:A8"/>
    <mergeCell ref="A9:A11"/>
  </mergeCell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CHRISTIAN BOMFIM BRANCO</dc:creator>
  <dcterms:created xmlns:dcterms="http://purl.org/dc/terms/" xmlns:xsi="http://www.w3.org/2001/XMLSchema-instance" xsi:type="dcterms:W3CDTF">2026-06-10T21:13:32Z</dcterms:created>
  <dcterms:modified xmlns:dcterms="http://purl.org/dc/terms/" xmlns:xsi="http://www.w3.org/2001/XMLSchema-instance" xsi:type="dcterms:W3CDTF">2026-06-30T01:17:31Z</dcterms:modified>
  <cp:lastModifiedBy>Christian Branco</cp:lastModifiedBy>
</cp:coreProperties>
</file>