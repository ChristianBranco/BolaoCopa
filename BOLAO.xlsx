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3EC29590-3FC7-428C-B385-229D08412A37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P74" i="6" a="1"/>
  <c r="P74" i="6"/>
  <c r="O74" i="6" a="1"/>
  <c r="O74" i="6"/>
  <c r="N74" i="6" a="1"/>
  <c r="N74" i="6"/>
  <c r="M74" i="6" a="1"/>
  <c r="M74" i="6"/>
  <c r="L74" i="6" a="1"/>
  <c r="L74" i="6"/>
  <c r="K74" i="6" a="1"/>
  <c r="K74" i="6"/>
  <c r="J74" i="6" a="1"/>
  <c r="J74" i="6"/>
  <c r="I74" i="6" a="1"/>
  <c r="I74" i="6"/>
  <c r="H74" i="6" a="1"/>
  <c r="H74" i="6"/>
  <c r="G74" i="6" a="1"/>
  <c r="G74" i="6" s="1"/>
  <c r="Z74" i="6" a="1"/>
  <c r="Z74" i="6"/>
  <c r="Q74" i="6" a="1"/>
  <c r="Q74" i="6"/>
  <c r="R74" i="6" a="1"/>
  <c r="R74" i="6"/>
  <c r="S74" i="6" a="1"/>
  <c r="S74" i="6"/>
  <c r="T74" i="6" a="1"/>
  <c r="T74" i="6"/>
  <c r="U74" i="6" a="1"/>
  <c r="U74" i="6"/>
  <c r="V74" i="6" a="1"/>
  <c r="V74" i="6"/>
  <c r="W74" i="6" a="1"/>
  <c r="W74" i="6"/>
  <c r="X74" i="6" a="1"/>
  <c r="X74" i="6"/>
  <c r="Y74" i="6" a="1"/>
  <c r="Y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<sst xmlns="http://schemas.openxmlformats.org/spreadsheetml/2006/main" count="631" uniqueCount="130">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</sst>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17" t="s">
        <v>0</v>
      </c>
      <c r="B1" s="117"/>
      <c r="C1" s="13"/>
      <c r="D1" s="13"/>
      <c r="E1" s="13"/>
      <c r="F1" s="13"/>
      <c r="G1" s="13"/>
      <c r="H1" s="13"/>
    </row>
    <row r="2" spans="1:8" ht="15" customHeight="1" x14ac:dyDescent="0.25">
      <c r="A2" s="117"/>
      <c r="B2" s="117"/>
      <c r="C2" s="13"/>
      <c r="D2" s="13"/>
      <c r="E2" s="13"/>
      <c r="F2" s="13"/>
      <c r="G2" s="13"/>
      <c r="H2" s="13"/>
    </row>
    <row r="3" spans="1:8" ht="15" customHeight="1" x14ac:dyDescent="0.25">
      <c r="A3" s="117"/>
      <c r="B3" s="117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18" t="s">
        <v>20</v>
      </c>
      <c r="B1" s="119"/>
      <c r="C1" s="119"/>
      <c r="D1" s="119"/>
      <c r="E1" s="119"/>
      <c r="F1" s="119"/>
      <c r="G1" s="119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19" activePane="bottomLeft" state="frozen"/>
      <selection activeCell="B1" sqref="B1"/>
      <selection pane="bottomLeft" activeCell="G42" sqref="G42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98"/>
      <c r="G1" s="86" t="s">
        <v>3</v>
      </c>
      <c r="H1" s="85" t="s">
        <v>5</v>
      </c>
      <c r="I1" s="85" t="s">
        <v>6</v>
      </c>
      <c r="J1" s="85" t="s">
        <v>35</v>
      </c>
      <c r="K1" s="85" t="s">
        <v>7</v>
      </c>
      <c r="L1" s="85" t="s">
        <v>36</v>
      </c>
      <c r="M1" s="85" t="s">
        <v>8</v>
      </c>
      <c r="N1" s="85" t="s">
        <v>9</v>
      </c>
      <c r="O1" s="85" t="s">
        <v>18</v>
      </c>
      <c r="P1" s="85" t="s">
        <v>10</v>
      </c>
      <c r="Q1" s="85" t="s">
        <v>37</v>
      </c>
      <c r="R1" s="85" t="s">
        <v>11</v>
      </c>
      <c r="S1" s="85" t="s">
        <v>12</v>
      </c>
      <c r="T1" s="85" t="s">
        <v>13</v>
      </c>
      <c r="U1" s="85" t="s">
        <v>38</v>
      </c>
      <c r="V1" s="85" t="s">
        <v>14</v>
      </c>
      <c r="W1" s="85" t="s">
        <v>15</v>
      </c>
      <c r="X1" s="85" t="s">
        <v>16</v>
      </c>
      <c r="Y1" s="85" t="s">
        <v>17</v>
      </c>
      <c r="Z1" s="85" t="s">
        <v>19</v>
      </c>
      <c r="AA1" s="87" t="s">
        <v>39</v>
      </c>
      <c r="AB1" s="87" t="s">
        <v>40</v>
      </c>
      <c r="AC1" s="89" t="s">
        <v>41</v>
      </c>
    </row>
    <row r="2" spans="1:30" x14ac:dyDescent="0.25">
      <c r="A2" s="113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99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3" t="s">
        <v>44</v>
      </c>
      <c r="AA2" s="78">
        <f>IFERROR(VALUE(TRIM(LEFT($E2,SEARCH("x",$E2)-1))),"")</f>
        <v>2</v>
      </c>
      <c r="AB2" s="92">
        <f>IFERROR(VALUE(TRIM(MID($E2,SEARCH("x",$E2)+1,10))),"")</f>
        <v>0</v>
      </c>
      <c r="AC2" s="90" t="str">
        <f>IF(OR($AA2="",$AB2=""),"",IF($AA2&gt;$AB2,"A",IF($AA2&lt;$AB2,"B","E")))</f>
        <v>A</v>
      </c>
    </row>
    <row r="3" spans="1:30" ht="15.75" thickBot="1" x14ac:dyDescent="0.3">
      <c r="A3" s="114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0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80" t="s">
        <v>45</v>
      </c>
      <c r="AA3" s="84">
        <f t="shared" ref="AA3:AA20" si="2">IFERROR(VALUE(TRIM(LEFT($E3,SEARCH("x",$E3)-1))),"")</f>
        <v>2</v>
      </c>
      <c r="AB3" s="93">
        <f t="shared" ref="AB3:AB20" si="3">IFERROR(VALUE(TRIM(MID($E3,SEARCH("x",$E3)+1,10))),"")</f>
        <v>1</v>
      </c>
      <c r="AC3" s="88" t="str">
        <f>IF(OR($AA3="",$AB3=""),"",IF($AA3&gt;$AB3,"A",IF($AA3&lt;$AB3,"B","E")))</f>
        <v>A</v>
      </c>
    </row>
    <row r="4" spans="1:30" x14ac:dyDescent="0.25">
      <c r="A4" s="115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99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9" t="s">
        <v>45</v>
      </c>
      <c r="AA4" s="84">
        <f t="shared" si="2"/>
        <v>1</v>
      </c>
      <c r="AB4" s="93">
        <f t="shared" si="3"/>
        <v>1</v>
      </c>
      <c r="AC4" s="88" t="str">
        <f t="shared" ref="AC4:AC67" si="4">IF(OR($AA4="",$AB4=""),"",IF($AA4&gt;$AB4,"A",IF($AA4&lt;$AB4,"B","E")))</f>
        <v>E</v>
      </c>
      <c r="AD4" s="54"/>
    </row>
    <row r="5" spans="1:30" x14ac:dyDescent="0.25">
      <c r="A5" s="116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0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80" t="s">
        <v>44</v>
      </c>
      <c r="AA5" s="84">
        <f t="shared" si="2"/>
        <v>4</v>
      </c>
      <c r="AB5" s="93">
        <f t="shared" si="3"/>
        <v>1</v>
      </c>
      <c r="AC5" s="88" t="str">
        <f t="shared" si="4"/>
        <v>A</v>
      </c>
      <c r="AD5" s="54"/>
    </row>
    <row r="6" spans="1:30" x14ac:dyDescent="0.25">
      <c r="A6" s="105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99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9" t="s">
        <v>45</v>
      </c>
      <c r="AA6" s="84">
        <f t="shared" si="2"/>
        <v>1</v>
      </c>
      <c r="AB6" s="93">
        <f t="shared" si="3"/>
        <v>1</v>
      </c>
      <c r="AC6" s="88" t="str">
        <f t="shared" si="4"/>
        <v>E</v>
      </c>
      <c r="AD6" s="54"/>
    </row>
    <row r="7" spans="1:30" x14ac:dyDescent="0.25">
      <c r="A7" s="106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1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4">
        <f t="shared" si="2"/>
        <v>1</v>
      </c>
      <c r="AB7" s="93">
        <f t="shared" si="3"/>
        <v>1</v>
      </c>
      <c r="AC7" s="88" t="str">
        <f t="shared" si="4"/>
        <v>E</v>
      </c>
      <c r="AD7" s="54"/>
    </row>
    <row r="8" spans="1:30" x14ac:dyDescent="0.25">
      <c r="A8" s="107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02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81" t="s">
        <v>45</v>
      </c>
      <c r="AA8" s="84">
        <f t="shared" si="2"/>
        <v>0</v>
      </c>
      <c r="AB8" s="93">
        <f t="shared" si="3"/>
        <v>1</v>
      </c>
      <c r="AC8" s="88" t="str">
        <f t="shared" si="4"/>
        <v>B</v>
      </c>
      <c r="AD8" s="54"/>
    </row>
    <row r="9" spans="1:30" x14ac:dyDescent="0.25">
      <c r="A9" s="108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03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82" t="s">
        <v>45</v>
      </c>
      <c r="AA9" s="84">
        <f t="shared" si="2"/>
        <v>2</v>
      </c>
      <c r="AB9" s="93">
        <f t="shared" si="3"/>
        <v>0</v>
      </c>
      <c r="AC9" s="88" t="str">
        <f t="shared" si="4"/>
        <v>A</v>
      </c>
      <c r="AD9" s="54"/>
    </row>
    <row r="10" spans="1:30" x14ac:dyDescent="0.25">
      <c r="A10" s="109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99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9" t="s">
        <v>44</v>
      </c>
      <c r="AA10" s="84">
        <f t="shared" si="2"/>
        <v>7</v>
      </c>
      <c r="AB10" s="93">
        <f t="shared" si="3"/>
        <v>1</v>
      </c>
      <c r="AC10" s="88" t="str">
        <f t="shared" si="4"/>
        <v>A</v>
      </c>
      <c r="AD10" s="54"/>
    </row>
    <row r="11" spans="1:30" x14ac:dyDescent="0.25">
      <c r="A11" s="110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1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3" t="s">
        <v>45</v>
      </c>
      <c r="AA11" s="84">
        <f t="shared" si="2"/>
        <v>1</v>
      </c>
      <c r="AB11" s="93">
        <f t="shared" si="3"/>
        <v>0</v>
      </c>
      <c r="AC11" s="88" t="str">
        <f t="shared" si="4"/>
        <v>A</v>
      </c>
      <c r="AD11" s="54"/>
    </row>
    <row r="12" spans="1:30" x14ac:dyDescent="0.25">
      <c r="A12" s="111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02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81" t="s">
        <v>44</v>
      </c>
      <c r="AA12" s="84">
        <f t="shared" si="2"/>
        <v>2</v>
      </c>
      <c r="AB12" s="93">
        <f t="shared" si="3"/>
        <v>2</v>
      </c>
      <c r="AC12" s="88" t="str">
        <f t="shared" si="4"/>
        <v>E</v>
      </c>
      <c r="AD12" s="54"/>
    </row>
    <row r="13" spans="1:30" x14ac:dyDescent="0.25">
      <c r="A13" s="112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03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82" t="s">
        <v>44</v>
      </c>
      <c r="AA13" s="84">
        <f t="shared" si="2"/>
        <v>5</v>
      </c>
      <c r="AB13" s="93">
        <f t="shared" si="3"/>
        <v>1</v>
      </c>
      <c r="AC13" s="88" t="str">
        <f t="shared" si="4"/>
        <v>A</v>
      </c>
      <c r="AD13" s="54"/>
    </row>
    <row r="14" spans="1:30" x14ac:dyDescent="0.25">
      <c r="A14" s="105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99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4">
        <f t="shared" si="2"/>
        <v>1</v>
      </c>
      <c r="AB14" s="93">
        <f t="shared" si="3"/>
        <v>1</v>
      </c>
      <c r="AC14" s="88" t="str">
        <f t="shared" si="4"/>
        <v>E</v>
      </c>
      <c r="AD14" s="54"/>
    </row>
    <row r="15" spans="1:30" x14ac:dyDescent="0.25">
      <c r="A15" s="106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01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3" t="s">
        <v>44</v>
      </c>
      <c r="AA15" s="84">
        <f t="shared" si="2"/>
        <v>2</v>
      </c>
      <c r="AB15" s="93">
        <f t="shared" si="3"/>
        <v>2</v>
      </c>
      <c r="AC15" s="88" t="str">
        <f t="shared" si="4"/>
        <v>E</v>
      </c>
      <c r="AD15" s="54"/>
    </row>
    <row r="16" spans="1:30" ht="15.75" thickBot="1" x14ac:dyDescent="0.3">
      <c r="A16" s="107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02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4">
        <f t="shared" si="2"/>
        <v>0</v>
      </c>
      <c r="AB16" s="93">
        <f t="shared" si="3"/>
        <v>0</v>
      </c>
      <c r="AC16" s="88" t="str">
        <f t="shared" si="4"/>
        <v>E</v>
      </c>
      <c r="AD16" s="54"/>
    </row>
    <row r="17" spans="1:30" ht="15.75" thickBot="1" x14ac:dyDescent="0.3">
      <c r="A17" s="108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03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4">
        <f t="shared" si="2"/>
        <v>1</v>
      </c>
      <c r="AB17" s="93">
        <f t="shared" si="3"/>
        <v>1</v>
      </c>
      <c r="AC17" s="88" t="str">
        <f t="shared" si="4"/>
        <v>E</v>
      </c>
      <c r="AD17" s="54"/>
    </row>
    <row r="18" spans="1:30" ht="15.75" thickBot="1" x14ac:dyDescent="0.3">
      <c r="A18" s="109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99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9" t="s">
        <v>44</v>
      </c>
      <c r="AA18" s="84">
        <f t="shared" si="2"/>
        <v>3</v>
      </c>
      <c r="AB18" s="93">
        <f t="shared" si="3"/>
        <v>1</v>
      </c>
      <c r="AC18" s="88" t="str">
        <f t="shared" si="4"/>
        <v>A</v>
      </c>
      <c r="AD18" s="54"/>
    </row>
    <row r="19" spans="1:30" x14ac:dyDescent="0.25">
      <c r="A19" s="110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74</v>
      </c>
      <c r="F19" s="101"/>
      <c r="G19" s="63" t="s">
        <v>46</v>
      </c>
      <c r="H19" s="71" t="s">
        <v>44</v>
      </c>
      <c r="I19" s="71" t="s">
        <v>44</v>
      </c>
      <c r="J19" s="71" t="s">
        <v>44</v>
      </c>
      <c r="K19" s="71" t="s">
        <v>44</v>
      </c>
      <c r="L19" s="71" t="s">
        <v>46</v>
      </c>
      <c r="M19" s="71" t="s">
        <v>44</v>
      </c>
      <c r="N19" s="71" t="s">
        <v>44</v>
      </c>
      <c r="O19" s="71" t="s">
        <v>46</v>
      </c>
      <c r="P19" s="71" t="s">
        <v>44</v>
      </c>
      <c r="Q19" s="71" t="s">
        <v>45</v>
      </c>
      <c r="R19" s="71" t="s">
        <v>46</v>
      </c>
      <c r="S19" s="71" t="s">
        <v>44</v>
      </c>
      <c r="T19" s="71" t="s">
        <v>44</v>
      </c>
      <c r="U19" s="56" t="s">
        <v>44</v>
      </c>
      <c r="V19" s="56" t="s">
        <v>44</v>
      </c>
      <c r="W19" s="56" t="s">
        <v>44</v>
      </c>
      <c r="X19" s="56" t="s">
        <v>44</v>
      </c>
      <c r="Y19" s="56" t="s">
        <v>44</v>
      </c>
      <c r="Z19" s="83" t="s">
        <v>45</v>
      </c>
      <c r="AA19" s="84" t="str">
        <f t="shared" si="2"/>
        <v/>
      </c>
      <c r="AB19" s="93" t="str">
        <f t="shared" si="3"/>
        <v/>
      </c>
      <c r="AC19" s="88" t="str">
        <f t="shared" si="4"/>
        <v/>
      </c>
      <c r="AD19" s="54"/>
    </row>
    <row r="20" spans="1:30" x14ac:dyDescent="0.25">
      <c r="A20" s="111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74</v>
      </c>
      <c r="F20" s="102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81" t="s">
        <v>44</v>
      </c>
      <c r="AA20" s="84" t="str">
        <f t="shared" si="2"/>
        <v/>
      </c>
      <c r="AB20" s="93" t="str">
        <f t="shared" si="3"/>
        <v/>
      </c>
      <c r="AC20" s="88" t="str">
        <f t="shared" si="4"/>
        <v/>
      </c>
      <c r="AD20" s="54"/>
    </row>
    <row r="21" spans="1:30" x14ac:dyDescent="0.25">
      <c r="A21" s="112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74</v>
      </c>
      <c r="F21" s="103"/>
      <c r="G21" s="74" t="s">
        <v>44</v>
      </c>
      <c r="H21" s="75" t="s">
        <v>46</v>
      </c>
      <c r="I21" s="75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5" t="s">
        <v>46</v>
      </c>
      <c r="T21" s="75" t="s">
        <v>44</v>
      </c>
      <c r="U21" s="76" t="s">
        <v>44</v>
      </c>
      <c r="V21" s="76" t="s">
        <v>46</v>
      </c>
      <c r="W21" s="76" t="s">
        <v>44</v>
      </c>
      <c r="X21" s="76" t="s">
        <v>46</v>
      </c>
      <c r="Y21" s="76" t="s">
        <v>44</v>
      </c>
      <c r="Z21" s="82" t="s">
        <v>44</v>
      </c>
      <c r="AA21" s="84" t="str">
        <f t="shared" ref="AA21:AA73" si="5">IFERROR(VALUE(TRIM(LEFT($E21,SEARCH("x",$E21)-1))),"")</f>
        <v/>
      </c>
      <c r="AB21" s="93" t="str">
        <f t="shared" ref="AB21:AB73" si="6">IFERROR(VALUE(TRIM(MID($E21,SEARCH("x",$E21)+1,10))),"")</f>
        <v/>
      </c>
      <c r="AC21" s="88" t="str">
        <f t="shared" si="4"/>
        <v/>
      </c>
      <c r="AD21" s="54"/>
    </row>
    <row r="22" spans="1:30" x14ac:dyDescent="0.25">
      <c r="A22" s="105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74</v>
      </c>
      <c r="F22" s="99"/>
      <c r="G22" s="63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56"/>
      <c r="V22" s="56"/>
      <c r="W22" s="56"/>
      <c r="X22" s="56"/>
      <c r="Y22" s="56"/>
      <c r="Z22" s="79"/>
      <c r="AA22" s="84" t="str">
        <f t="shared" si="5"/>
        <v/>
      </c>
      <c r="AB22" s="93" t="str">
        <f t="shared" si="6"/>
        <v/>
      </c>
      <c r="AC22" s="88" t="str">
        <f t="shared" si="4"/>
        <v/>
      </c>
      <c r="AD22" s="54"/>
    </row>
    <row r="23" spans="1:30" x14ac:dyDescent="0.25">
      <c r="A23" s="106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7" t="s">
        <v>74</v>
      </c>
      <c r="F23" s="101"/>
      <c r="G23" s="63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56"/>
      <c r="V23" s="56"/>
      <c r="W23" s="56"/>
      <c r="X23" s="56"/>
      <c r="Y23" s="56"/>
      <c r="Z23" s="83"/>
      <c r="AA23" s="84" t="str">
        <f t="shared" si="5"/>
        <v/>
      </c>
      <c r="AB23" s="93" t="str">
        <f t="shared" si="6"/>
        <v/>
      </c>
      <c r="AC23" s="88" t="str">
        <f t="shared" si="4"/>
        <v/>
      </c>
      <c r="AD23" s="54"/>
    </row>
    <row r="24" spans="1:30" x14ac:dyDescent="0.25">
      <c r="A24" s="107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8" t="s">
        <v>74</v>
      </c>
      <c r="F24" s="102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7"/>
      <c r="V24" s="67"/>
      <c r="W24" s="67"/>
      <c r="X24" s="67"/>
      <c r="Y24" s="67"/>
      <c r="Z24" s="81"/>
      <c r="AA24" s="84" t="str">
        <f t="shared" si="5"/>
        <v/>
      </c>
      <c r="AB24" s="93" t="str">
        <f t="shared" si="6"/>
        <v/>
      </c>
      <c r="AC24" s="88" t="str">
        <f t="shared" si="4"/>
        <v/>
      </c>
      <c r="AD24" s="54"/>
    </row>
    <row r="25" spans="1:30" x14ac:dyDescent="0.25">
      <c r="A25" s="108"/>
      <c r="B25" s="27" t="s">
        <v>80</v>
      </c>
      <c r="C25" s="39" t="str">
        <f t="shared" si="0"/>
        <v>Gana</v>
      </c>
      <c r="D25" s="39" t="str">
        <f t="shared" si="1"/>
        <v>Panamá</v>
      </c>
      <c r="E25" s="49" t="s">
        <v>74</v>
      </c>
      <c r="F25" s="103"/>
      <c r="G25" s="68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0"/>
      <c r="V25" s="70"/>
      <c r="W25" s="70"/>
      <c r="X25" s="70"/>
      <c r="Y25" s="70"/>
      <c r="Z25" s="82"/>
      <c r="AA25" s="84" t="str">
        <f t="shared" si="5"/>
        <v/>
      </c>
      <c r="AB25" s="93" t="str">
        <f t="shared" si="6"/>
        <v/>
      </c>
      <c r="AC25" s="88" t="str">
        <f t="shared" si="4"/>
        <v/>
      </c>
      <c r="AD25" s="54"/>
    </row>
    <row r="26" spans="1:30" x14ac:dyDescent="0.25">
      <c r="A26" s="109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6" t="s">
        <v>74</v>
      </c>
      <c r="F26" s="99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9"/>
      <c r="AA26" s="84" t="str">
        <f t="shared" si="5"/>
        <v/>
      </c>
      <c r="AB26" s="93" t="str">
        <f t="shared" si="6"/>
        <v/>
      </c>
      <c r="AC26" s="88" t="str">
        <f t="shared" si="4"/>
        <v/>
      </c>
      <c r="AD26" s="54"/>
    </row>
    <row r="27" spans="1:30" x14ac:dyDescent="0.25">
      <c r="A27" s="110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50" t="s">
        <v>74</v>
      </c>
      <c r="F27" s="101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3"/>
      <c r="AA27" s="84" t="str">
        <f t="shared" si="5"/>
        <v/>
      </c>
      <c r="AB27" s="93" t="str">
        <f t="shared" si="6"/>
        <v/>
      </c>
      <c r="AC27" s="88" t="str">
        <f t="shared" si="4"/>
        <v/>
      </c>
      <c r="AD27" s="54"/>
    </row>
    <row r="28" spans="1:30" x14ac:dyDescent="0.25">
      <c r="A28" s="111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51" t="s">
        <v>74</v>
      </c>
      <c r="F28" s="102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81"/>
      <c r="AA28" s="84" t="str">
        <f t="shared" si="5"/>
        <v/>
      </c>
      <c r="AB28" s="93" t="str">
        <f t="shared" si="6"/>
        <v/>
      </c>
      <c r="AC28" s="88" t="str">
        <f t="shared" si="4"/>
        <v/>
      </c>
      <c r="AD28" s="54"/>
    </row>
    <row r="29" spans="1:30" x14ac:dyDescent="0.25">
      <c r="A29" s="112"/>
      <c r="B29" s="30" t="s">
        <v>84</v>
      </c>
      <c r="C29" s="42" t="str">
        <f t="shared" si="0"/>
        <v>Canadá</v>
      </c>
      <c r="D29" s="42" t="str">
        <f t="shared" si="1"/>
        <v>Catar</v>
      </c>
      <c r="E29" s="52" t="s">
        <v>74</v>
      </c>
      <c r="F29" s="103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82"/>
      <c r="AA29" s="84" t="str">
        <f t="shared" si="5"/>
        <v/>
      </c>
      <c r="AB29" s="93" t="str">
        <f t="shared" si="6"/>
        <v/>
      </c>
      <c r="AC29" s="88" t="str">
        <f t="shared" si="4"/>
        <v/>
      </c>
      <c r="AD29" s="54"/>
    </row>
    <row r="30" spans="1:30" x14ac:dyDescent="0.25">
      <c r="A30" s="105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99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9"/>
      <c r="AA30" s="84" t="str">
        <f t="shared" si="5"/>
        <v/>
      </c>
      <c r="AB30" s="93" t="str">
        <f t="shared" si="6"/>
        <v/>
      </c>
      <c r="AC30" s="88" t="str">
        <f t="shared" si="4"/>
        <v/>
      </c>
      <c r="AD30" s="54"/>
    </row>
    <row r="31" spans="1:30" x14ac:dyDescent="0.25">
      <c r="A31" s="106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01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3"/>
      <c r="AA31" s="84" t="str">
        <f t="shared" si="5"/>
        <v/>
      </c>
      <c r="AB31" s="93" t="str">
        <f t="shared" si="6"/>
        <v/>
      </c>
      <c r="AC31" s="88" t="str">
        <f t="shared" si="4"/>
        <v/>
      </c>
      <c r="AD31" s="54"/>
    </row>
    <row r="32" spans="1:30" x14ac:dyDescent="0.25">
      <c r="A32" s="107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02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81"/>
      <c r="AA32" s="84" t="str">
        <f t="shared" si="5"/>
        <v/>
      </c>
      <c r="AB32" s="93" t="str">
        <f t="shared" si="6"/>
        <v/>
      </c>
      <c r="AC32" s="88" t="str">
        <f t="shared" si="4"/>
        <v/>
      </c>
      <c r="AD32" s="54"/>
    </row>
    <row r="33" spans="1:30" x14ac:dyDescent="0.25">
      <c r="A33" s="108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03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82"/>
      <c r="AA33" s="84" t="str">
        <f t="shared" si="5"/>
        <v/>
      </c>
      <c r="AB33" s="93" t="str">
        <f t="shared" si="6"/>
        <v/>
      </c>
      <c r="AC33" s="88" t="str">
        <f t="shared" si="4"/>
        <v/>
      </c>
      <c r="AD33" s="54"/>
    </row>
    <row r="34" spans="1:30" x14ac:dyDescent="0.25">
      <c r="A34" s="109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99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9"/>
      <c r="AA34" s="84" t="str">
        <f t="shared" si="5"/>
        <v/>
      </c>
      <c r="AB34" s="93" t="str">
        <f t="shared" si="6"/>
        <v/>
      </c>
      <c r="AC34" s="88" t="str">
        <f t="shared" si="4"/>
        <v/>
      </c>
      <c r="AD34" s="54"/>
    </row>
    <row r="35" spans="1:30" x14ac:dyDescent="0.25">
      <c r="A35" s="110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01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3"/>
      <c r="AA35" s="84" t="str">
        <f t="shared" si="5"/>
        <v/>
      </c>
      <c r="AB35" s="93" t="str">
        <f t="shared" si="6"/>
        <v/>
      </c>
      <c r="AC35" s="88" t="str">
        <f t="shared" si="4"/>
        <v/>
      </c>
      <c r="AD35" s="54"/>
    </row>
    <row r="36" spans="1:30" x14ac:dyDescent="0.25">
      <c r="A36" s="111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02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81"/>
      <c r="AA36" s="84" t="str">
        <f t="shared" si="5"/>
        <v/>
      </c>
      <c r="AB36" s="93" t="str">
        <f t="shared" si="6"/>
        <v/>
      </c>
      <c r="AC36" s="88" t="str">
        <f t="shared" si="4"/>
        <v/>
      </c>
      <c r="AD36" s="54"/>
    </row>
    <row r="37" spans="1:30" x14ac:dyDescent="0.25">
      <c r="A37" s="112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03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82"/>
      <c r="AA37" s="84" t="str">
        <f t="shared" si="5"/>
        <v/>
      </c>
      <c r="AB37" s="93" t="str">
        <f t="shared" si="6"/>
        <v/>
      </c>
      <c r="AC37" s="88" t="str">
        <f t="shared" si="4"/>
        <v/>
      </c>
      <c r="AD37" s="54"/>
    </row>
    <row r="38" spans="1:30" x14ac:dyDescent="0.25">
      <c r="A38" s="105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99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9"/>
      <c r="AA38" s="84" t="str">
        <f t="shared" si="5"/>
        <v/>
      </c>
      <c r="AB38" s="93" t="str">
        <f t="shared" si="6"/>
        <v/>
      </c>
      <c r="AC38" s="88" t="str">
        <f t="shared" si="4"/>
        <v/>
      </c>
      <c r="AD38" s="54"/>
    </row>
    <row r="39" spans="1:30" x14ac:dyDescent="0.25">
      <c r="A39" s="106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01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3"/>
      <c r="AA39" s="84" t="str">
        <f t="shared" si="5"/>
        <v/>
      </c>
      <c r="AB39" s="93" t="str">
        <f t="shared" si="6"/>
        <v/>
      </c>
      <c r="AC39" s="88" t="str">
        <f t="shared" si="4"/>
        <v/>
      </c>
      <c r="AD39" s="54"/>
    </row>
    <row r="40" spans="1:30" x14ac:dyDescent="0.25">
      <c r="A40" s="107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02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81"/>
      <c r="AA40" s="84" t="str">
        <f t="shared" si="5"/>
        <v/>
      </c>
      <c r="AB40" s="93" t="str">
        <f t="shared" si="6"/>
        <v/>
      </c>
      <c r="AC40" s="88" t="str">
        <f t="shared" si="4"/>
        <v/>
      </c>
      <c r="AD40" s="54"/>
    </row>
    <row r="41" spans="1:30" x14ac:dyDescent="0.25">
      <c r="A41" s="108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03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82"/>
      <c r="AA41" s="84" t="str">
        <f t="shared" si="5"/>
        <v/>
      </c>
      <c r="AB41" s="93" t="str">
        <f t="shared" si="6"/>
        <v/>
      </c>
      <c r="AC41" s="88" t="str">
        <f t="shared" si="4"/>
        <v/>
      </c>
      <c r="AD41" s="54"/>
    </row>
    <row r="42" spans="1:30" x14ac:dyDescent="0.25">
      <c r="A42" s="109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99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9"/>
      <c r="AA42" s="84" t="str">
        <f t="shared" si="5"/>
        <v/>
      </c>
      <c r="AB42" s="93" t="str">
        <f t="shared" si="6"/>
        <v/>
      </c>
      <c r="AC42" s="88" t="str">
        <f t="shared" si="4"/>
        <v/>
      </c>
      <c r="AD42" s="54"/>
    </row>
    <row r="43" spans="1:30" x14ac:dyDescent="0.25">
      <c r="A43" s="110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01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3"/>
      <c r="AA43" s="84" t="str">
        <f t="shared" si="5"/>
        <v/>
      </c>
      <c r="AB43" s="93" t="str">
        <f t="shared" si="6"/>
        <v/>
      </c>
      <c r="AC43" s="88" t="str">
        <f t="shared" si="4"/>
        <v/>
      </c>
      <c r="AD43" s="54"/>
    </row>
    <row r="44" spans="1:30" x14ac:dyDescent="0.25">
      <c r="A44" s="111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02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81"/>
      <c r="AA44" s="84" t="str">
        <f t="shared" si="5"/>
        <v/>
      </c>
      <c r="AB44" s="93" t="str">
        <f t="shared" si="6"/>
        <v/>
      </c>
      <c r="AC44" s="88" t="str">
        <f t="shared" si="4"/>
        <v/>
      </c>
      <c r="AD44" s="54"/>
    </row>
    <row r="45" spans="1:30" x14ac:dyDescent="0.25">
      <c r="A45" s="112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03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82"/>
      <c r="AA45" s="84" t="str">
        <f t="shared" si="5"/>
        <v/>
      </c>
      <c r="AB45" s="93" t="str">
        <f t="shared" si="6"/>
        <v/>
      </c>
      <c r="AC45" s="88" t="str">
        <f t="shared" si="4"/>
        <v/>
      </c>
      <c r="AD45" s="54"/>
    </row>
    <row r="46" spans="1:30" x14ac:dyDescent="0.25">
      <c r="A46" s="105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99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9"/>
      <c r="AA46" s="84" t="str">
        <f t="shared" si="5"/>
        <v/>
      </c>
      <c r="AB46" s="93" t="str">
        <f t="shared" si="6"/>
        <v/>
      </c>
      <c r="AC46" s="88" t="str">
        <f t="shared" si="4"/>
        <v/>
      </c>
      <c r="AD46" s="54"/>
    </row>
    <row r="47" spans="1:30" x14ac:dyDescent="0.25">
      <c r="A47" s="106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01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3"/>
      <c r="AA47" s="84" t="str">
        <f t="shared" si="5"/>
        <v/>
      </c>
      <c r="AB47" s="93" t="str">
        <f t="shared" si="6"/>
        <v/>
      </c>
      <c r="AC47" s="88" t="str">
        <f t="shared" si="4"/>
        <v/>
      </c>
      <c r="AD47" s="54"/>
    </row>
    <row r="48" spans="1:30" x14ac:dyDescent="0.25">
      <c r="A48" s="107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02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81"/>
      <c r="AA48" s="84" t="str">
        <f t="shared" si="5"/>
        <v/>
      </c>
      <c r="AB48" s="93" t="str">
        <f t="shared" si="6"/>
        <v/>
      </c>
      <c r="AC48" s="88" t="str">
        <f t="shared" si="4"/>
        <v/>
      </c>
      <c r="AD48" s="54"/>
    </row>
    <row r="49" spans="1:30" x14ac:dyDescent="0.25">
      <c r="A49" s="108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03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82"/>
      <c r="AA49" s="84" t="str">
        <f t="shared" si="5"/>
        <v/>
      </c>
      <c r="AB49" s="93" t="str">
        <f t="shared" si="6"/>
        <v/>
      </c>
      <c r="AC49" s="88" t="str">
        <f t="shared" si="4"/>
        <v/>
      </c>
      <c r="AD49" s="54"/>
    </row>
    <row r="50" spans="1:30" x14ac:dyDescent="0.25">
      <c r="A50" s="109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99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9"/>
      <c r="AA50" s="84" t="str">
        <f t="shared" si="5"/>
        <v/>
      </c>
      <c r="AB50" s="93" t="str">
        <f t="shared" si="6"/>
        <v/>
      </c>
      <c r="AC50" s="88" t="str">
        <f t="shared" si="4"/>
        <v/>
      </c>
      <c r="AD50" s="54"/>
    </row>
    <row r="51" spans="1:30" x14ac:dyDescent="0.25">
      <c r="A51" s="110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01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3"/>
      <c r="AA51" s="84" t="str">
        <f t="shared" si="5"/>
        <v/>
      </c>
      <c r="AB51" s="93" t="str">
        <f t="shared" si="6"/>
        <v/>
      </c>
      <c r="AC51" s="88" t="str">
        <f t="shared" si="4"/>
        <v/>
      </c>
      <c r="AD51" s="54"/>
    </row>
    <row r="52" spans="1:30" x14ac:dyDescent="0.25">
      <c r="A52" s="111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02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81"/>
      <c r="AA52" s="84" t="str">
        <f t="shared" si="5"/>
        <v/>
      </c>
      <c r="AB52" s="93" t="str">
        <f t="shared" si="6"/>
        <v/>
      </c>
      <c r="AC52" s="88" t="str">
        <f t="shared" si="4"/>
        <v/>
      </c>
      <c r="AD52" s="54"/>
    </row>
    <row r="53" spans="1:30" x14ac:dyDescent="0.25">
      <c r="A53" s="111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02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81"/>
      <c r="AA53" s="84" t="str">
        <f t="shared" si="5"/>
        <v/>
      </c>
      <c r="AB53" s="93" t="str">
        <f t="shared" si="6"/>
        <v/>
      </c>
      <c r="AC53" s="88" t="str">
        <f t="shared" si="4"/>
        <v/>
      </c>
      <c r="AD53" s="54"/>
    </row>
    <row r="54" spans="1:30" x14ac:dyDescent="0.25">
      <c r="A54" s="111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02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81"/>
      <c r="AA54" s="84" t="str">
        <f t="shared" si="5"/>
        <v/>
      </c>
      <c r="AB54" s="93" t="str">
        <f t="shared" si="6"/>
        <v/>
      </c>
      <c r="AC54" s="88" t="str">
        <f t="shared" si="4"/>
        <v/>
      </c>
      <c r="AD54" s="54"/>
    </row>
    <row r="55" spans="1:30" x14ac:dyDescent="0.25">
      <c r="A55" s="112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03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82"/>
      <c r="AA55" s="84" t="str">
        <f t="shared" si="5"/>
        <v/>
      </c>
      <c r="AB55" s="93" t="str">
        <f t="shared" si="6"/>
        <v/>
      </c>
      <c r="AC55" s="88" t="str">
        <f t="shared" si="4"/>
        <v/>
      </c>
      <c r="AD55" s="54"/>
    </row>
    <row r="56" spans="1:30" x14ac:dyDescent="0.25">
      <c r="A56" s="105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99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9"/>
      <c r="AA56" s="84" t="str">
        <f t="shared" si="5"/>
        <v/>
      </c>
      <c r="AB56" s="93" t="str">
        <f t="shared" si="6"/>
        <v/>
      </c>
      <c r="AC56" s="88" t="str">
        <f t="shared" si="4"/>
        <v/>
      </c>
      <c r="AD56" s="54"/>
    </row>
    <row r="57" spans="1:30" x14ac:dyDescent="0.25">
      <c r="A57" s="106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01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3"/>
      <c r="AA57" s="84" t="str">
        <f t="shared" si="5"/>
        <v/>
      </c>
      <c r="AB57" s="93" t="str">
        <f t="shared" si="6"/>
        <v/>
      </c>
      <c r="AC57" s="88" t="str">
        <f t="shared" si="4"/>
        <v/>
      </c>
      <c r="AD57" s="54"/>
    </row>
    <row r="58" spans="1:30" x14ac:dyDescent="0.25">
      <c r="A58" s="107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02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81"/>
      <c r="AA58" s="84" t="str">
        <f t="shared" si="5"/>
        <v/>
      </c>
      <c r="AB58" s="93" t="str">
        <f t="shared" si="6"/>
        <v/>
      </c>
      <c r="AC58" s="88" t="str">
        <f t="shared" si="4"/>
        <v/>
      </c>
      <c r="AD58" s="54"/>
    </row>
    <row r="59" spans="1:30" x14ac:dyDescent="0.25">
      <c r="A59" s="107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02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81"/>
      <c r="AA59" s="84" t="str">
        <f t="shared" si="5"/>
        <v/>
      </c>
      <c r="AB59" s="93" t="str">
        <f t="shared" si="6"/>
        <v/>
      </c>
      <c r="AC59" s="88" t="str">
        <f t="shared" si="4"/>
        <v/>
      </c>
      <c r="AD59" s="54"/>
    </row>
    <row r="60" spans="1:30" x14ac:dyDescent="0.25">
      <c r="A60" s="107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02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81"/>
      <c r="AA60" s="84" t="str">
        <f t="shared" si="5"/>
        <v/>
      </c>
      <c r="AB60" s="93" t="str">
        <f t="shared" si="6"/>
        <v/>
      </c>
      <c r="AC60" s="88" t="str">
        <f t="shared" si="4"/>
        <v/>
      </c>
      <c r="AD60" s="54"/>
    </row>
    <row r="61" spans="1:30" x14ac:dyDescent="0.25">
      <c r="A61" s="108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03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82"/>
      <c r="AA61" s="84" t="str">
        <f t="shared" si="5"/>
        <v/>
      </c>
      <c r="AB61" s="93" t="str">
        <f t="shared" si="6"/>
        <v/>
      </c>
      <c r="AC61" s="88" t="str">
        <f t="shared" si="4"/>
        <v/>
      </c>
      <c r="AD61" s="54"/>
    </row>
    <row r="62" spans="1:30" x14ac:dyDescent="0.25">
      <c r="A62" s="109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99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9"/>
      <c r="AA62" s="84" t="str">
        <f t="shared" si="5"/>
        <v/>
      </c>
      <c r="AB62" s="93" t="str">
        <f t="shared" si="6"/>
        <v/>
      </c>
      <c r="AC62" s="88" t="str">
        <f t="shared" si="4"/>
        <v/>
      </c>
      <c r="AD62" s="54"/>
    </row>
    <row r="63" spans="1:30" x14ac:dyDescent="0.25">
      <c r="A63" s="110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01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3"/>
      <c r="AA63" s="84" t="str">
        <f t="shared" si="5"/>
        <v/>
      </c>
      <c r="AB63" s="93" t="str">
        <f t="shared" si="6"/>
        <v/>
      </c>
      <c r="AC63" s="88" t="str">
        <f t="shared" si="4"/>
        <v/>
      </c>
      <c r="AD63" s="54"/>
    </row>
    <row r="64" spans="1:30" x14ac:dyDescent="0.25">
      <c r="A64" s="111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02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81"/>
      <c r="AA64" s="84" t="str">
        <f t="shared" si="5"/>
        <v/>
      </c>
      <c r="AB64" s="93" t="str">
        <f t="shared" si="6"/>
        <v/>
      </c>
      <c r="AC64" s="88" t="str">
        <f t="shared" si="4"/>
        <v/>
      </c>
      <c r="AD64" s="54"/>
    </row>
    <row r="65" spans="1:30" x14ac:dyDescent="0.25">
      <c r="A65" s="111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02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81"/>
      <c r="AA65" s="84" t="str">
        <f t="shared" si="5"/>
        <v/>
      </c>
      <c r="AB65" s="93" t="str">
        <f t="shared" si="6"/>
        <v/>
      </c>
      <c r="AC65" s="88" t="str">
        <f t="shared" si="4"/>
        <v/>
      </c>
      <c r="AD65" s="54"/>
    </row>
    <row r="66" spans="1:30" x14ac:dyDescent="0.25">
      <c r="A66" s="111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02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81"/>
      <c r="AA66" s="84" t="str">
        <f t="shared" si="5"/>
        <v/>
      </c>
      <c r="AB66" s="93" t="str">
        <f t="shared" si="6"/>
        <v/>
      </c>
      <c r="AC66" s="88" t="str">
        <f t="shared" si="4"/>
        <v/>
      </c>
      <c r="AD66" s="54"/>
    </row>
    <row r="67" spans="1:30" x14ac:dyDescent="0.25">
      <c r="A67" s="112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03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82"/>
      <c r="AA67" s="84" t="str">
        <f t="shared" si="5"/>
        <v/>
      </c>
      <c r="AB67" s="93" t="str">
        <f t="shared" si="6"/>
        <v/>
      </c>
      <c r="AC67" s="88" t="str">
        <f t="shared" si="4"/>
        <v/>
      </c>
      <c r="AD67" s="54"/>
    </row>
    <row r="68" spans="1:30" x14ac:dyDescent="0.25">
      <c r="A68" s="94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99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9"/>
      <c r="AA68" s="84" t="str">
        <f t="shared" si="5"/>
        <v/>
      </c>
      <c r="AB68" s="93" t="str">
        <f t="shared" si="6"/>
        <v/>
      </c>
      <c r="AC68" s="88" t="str">
        <f t="shared" ref="AC68:AC73" si="9">IF(OR($AA68="",$AB68=""),"",IF($AA68&gt;$AB68,"A",IF($AA68&lt;$AB68,"B","E")))</f>
        <v/>
      </c>
      <c r="AD68" s="54"/>
    </row>
    <row r="69" spans="1:30" x14ac:dyDescent="0.25">
      <c r="A69" s="95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01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3"/>
      <c r="AA69" s="84" t="str">
        <f t="shared" si="5"/>
        <v/>
      </c>
      <c r="AB69" s="93" t="str">
        <f t="shared" si="6"/>
        <v/>
      </c>
      <c r="AC69" s="88" t="str">
        <f t="shared" si="9"/>
        <v/>
      </c>
      <c r="AD69" s="54"/>
    </row>
    <row r="70" spans="1:30" x14ac:dyDescent="0.25">
      <c r="A70" s="96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02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81"/>
      <c r="AA70" s="84" t="str">
        <f t="shared" si="5"/>
        <v/>
      </c>
      <c r="AB70" s="93" t="str">
        <f t="shared" si="6"/>
        <v/>
      </c>
      <c r="AC70" s="88" t="str">
        <f t="shared" si="9"/>
        <v/>
      </c>
      <c r="AD70" s="54"/>
    </row>
    <row r="71" spans="1:30" x14ac:dyDescent="0.25">
      <c r="A71" s="96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02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81"/>
      <c r="AA71" s="84" t="str">
        <f t="shared" si="5"/>
        <v/>
      </c>
      <c r="AB71" s="93" t="str">
        <f t="shared" si="6"/>
        <v/>
      </c>
      <c r="AC71" s="88" t="str">
        <f t="shared" si="9"/>
        <v/>
      </c>
      <c r="AD71" s="54"/>
    </row>
    <row r="72" spans="1:30" x14ac:dyDescent="0.25">
      <c r="A72" s="96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02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81"/>
      <c r="AA72" s="84" t="str">
        <f t="shared" si="5"/>
        <v/>
      </c>
      <c r="AB72" s="93" t="str">
        <f t="shared" si="6"/>
        <v/>
      </c>
      <c r="AC72" s="88" t="str">
        <f t="shared" si="9"/>
        <v/>
      </c>
      <c r="AD72" s="54"/>
    </row>
    <row r="73" spans="1:30" x14ac:dyDescent="0.25">
      <c r="A73" s="97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04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82"/>
      <c r="AA73" s="84" t="str">
        <f t="shared" si="5"/>
        <v/>
      </c>
      <c r="AB73" s="93" t="str">
        <f t="shared" si="6"/>
        <v/>
      </c>
      <c r="AC73" s="91" t="str">
        <f t="shared" si="9"/>
        <v/>
      </c>
      <c r="AD73" s="54"/>
    </row>
    <row r="74" spans="1:30" ht="15.75" customHeight="1" x14ac:dyDescent="0.25">
      <c r="F74" s="19" t="s">
        <v>129</v>
      </c>
      <c r="G74" s="77" cm="1">
        <f t="array" ref="G74">SUMPRODUCT(--(UPPER(G2:G73)=$AC$2:$AC$73),--($AC$2:$AC$73&lt;&gt;""))</f>
        <v>6</v>
      </c>
      <c r="H74" s="77" cm="1">
        <f t="array" ref="H74">SUMPRODUCT(--(UPPER(H2:H73)=$AC$2:$AC$73),--($AC$2:$AC$73&lt;&gt;""))</f>
        <v>6</v>
      </c>
      <c r="I74" s="77" cm="1">
        <f t="array" ref="I74">SUMPRODUCT(--(UPPER(I2:I73)=$AC$2:$AC$73),--($AC$2:$AC$73&lt;&gt;""))</f>
        <v>8</v>
      </c>
      <c r="J74" s="77" cm="1">
        <f t="array" ref="J74">SUMPRODUCT(--(UPPER(J2:J73)=$AC$2:$AC$73),--($AC$2:$AC$73&lt;&gt;""))</f>
        <v>9</v>
      </c>
      <c r="K74" s="77" cm="1">
        <f t="array" ref="K74">SUMPRODUCT(--(UPPER(K2:K73)=$AC$2:$AC$73),--($AC$2:$AC$73&lt;&gt;""))</f>
        <v>7</v>
      </c>
      <c r="L74" s="77" cm="1">
        <f t="array" ref="L74">SUMPRODUCT(--(UPPER(L2:L73)=$AC$2:$AC$73),--($AC$2:$AC$73&lt;&gt;""))</f>
        <v>7</v>
      </c>
      <c r="M74" s="77" cm="1">
        <f t="array" ref="M74">SUMPRODUCT(--(UPPER(M2:M73)=$AC$2:$AC$73),--($AC$2:$AC$73&lt;&gt;""))</f>
        <v>6</v>
      </c>
      <c r="N74" s="77" cm="1">
        <f t="array" ref="N74">SUMPRODUCT(--(UPPER(N2:N73)=$AC$2:$AC$73),--($AC$2:$AC$73&lt;&gt;""))</f>
        <v>8</v>
      </c>
      <c r="O74" s="77" cm="1">
        <f t="array" ref="O74">SUMPRODUCT(--(UPPER(O2:O73)=$AC$2:$AC$73),--($AC$2:$AC$73&lt;&gt;""))</f>
        <v>5</v>
      </c>
      <c r="P74" s="77" cm="1">
        <f t="array" ref="P74">SUMPRODUCT(--(UPPER(P2:P73)=$AC$2:$AC$73),--($AC$2:$AC$73&lt;&gt;""))</f>
        <v>8</v>
      </c>
      <c r="Q74" s="77" cm="1">
        <f t="array" ref="Q74">SUMPRODUCT(--(UPPER(Q2:Q73)=$AC$2:$AC$73),--($AC$2:$AC$73&lt;&gt;""))</f>
        <v>6</v>
      </c>
      <c r="R74" s="77" cm="1">
        <f t="array" ref="R74">SUMPRODUCT(--(UPPER(R2:R73)=$AC$2:$AC$73),--($AC$2:$AC$73&lt;&gt;""))</f>
        <v>6</v>
      </c>
      <c r="S74" s="77" cm="1">
        <f t="array" ref="S74">SUMPRODUCT(--(UPPER(S2:S73)=$AC$2:$AC$73),--($AC$2:$AC$73&lt;&gt;""))</f>
        <v>5</v>
      </c>
      <c r="T74" s="77" cm="1">
        <f t="array" ref="T74">SUMPRODUCT(--(UPPER(T2:T73)=$AC$2:$AC$73),--($AC$2:$AC$73&lt;&gt;""))</f>
        <v>6</v>
      </c>
      <c r="U74" s="77" cm="1">
        <f t="array" ref="U74">SUMPRODUCT(--(UPPER(U2:U73)=$AC$2:$AC$73),--($AC$2:$AC$73&lt;&gt;""))</f>
        <v>7</v>
      </c>
      <c r="V74" s="77" cm="1">
        <f t="array" ref="V74">SUMPRODUCT(--(UPPER(V2:V73)=$AC$2:$AC$73),--($AC$2:$AC$73&lt;&gt;""))</f>
        <v>5</v>
      </c>
      <c r="W74" s="77" cm="1">
        <f t="array" ref="W74">SUMPRODUCT(--(UPPER(W2:W73)=$AC$2:$AC$73),--($AC$2:$AC$73&lt;&gt;""))</f>
        <v>7</v>
      </c>
      <c r="X74" s="77" cm="1">
        <f t="array" ref="X74">SUMPRODUCT(--(UPPER(X2:X73)=$AC$2:$AC$73),--($AC$2:$AC$73&lt;&gt;""))</f>
        <v>4</v>
      </c>
      <c r="Y74" s="77" cm="1">
        <f t="array" ref="Y74">SUMPRODUCT(--(UPPER(Y2:Y73)=$AC$2:$AC$73),--($AC$2:$AC$73&lt;&gt;""))</f>
        <v>7</v>
      </c>
      <c r="Z74" s="77" cm="1">
        <f t="array" ref="Z74">SUMPRODUCT(--(UPPER(Z2:Z73)=$AC$2:$AC$73),--($AC$2:$AC$73&lt;&gt;""))</f>
        <v>6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conditionalFormatting sqref="G2:Z20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2026-06-16T21:21:17Z</dcterms:modified>
  <cp:category/>
  <cp:contentStatus/>
</cp:coreProperties>
</file>