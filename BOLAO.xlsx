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A21BB4BE959536C/Documentos/"/>
    </mc:Choice>
  </mc:AlternateContent>
  <xr:revisionPtr revIDLastSave="0" documentId="8_{2B0C2E18-616C-C444-935C-494F4F498835}" xr6:coauthVersionLast="47" xr6:coauthVersionMax="47" xr10:uidLastSave="{00000000-0000-0000-0000-000000000000}"/>
  <bookViews>
    <workbookView xWindow="-120" yWindow="-120" windowWidth="29040" windowHeight="1644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P74" i="6" a="1"/>
  <c r="P74" i="6"/>
  <c r="O74" i="6" a="1"/>
  <c r="O74" i="6"/>
  <c r="N74" i="6" a="1"/>
  <c r="N74" i="6"/>
  <c r="M74" i="6" a="1"/>
  <c r="M74" i="6"/>
  <c r="L74" i="6" a="1"/>
  <c r="L74" i="6"/>
  <c r="K74" i="6" a="1"/>
  <c r="K74" i="6"/>
  <c r="J74" i="6" a="1"/>
  <c r="J74" i="6"/>
  <c r="I74" i="6" a="1"/>
  <c r="I74" i="6"/>
  <c r="H74" i="6" a="1"/>
  <c r="H74" i="6"/>
  <c r="G74" i="6" a="1"/>
  <c r="G74" i="6"/>
  <c r="Z74" i="6" a="1"/>
  <c r="Z74" i="6"/>
  <c r="Q74" i="6" a="1"/>
  <c r="Q74" i="6"/>
  <c r="R74" i="6" a="1"/>
  <c r="R74" i="6"/>
  <c r="S74" i="6" a="1"/>
  <c r="S74" i="6"/>
  <c r="T74" i="6" a="1"/>
  <c r="T74" i="6"/>
  <c r="U74" i="6" a="1"/>
  <c r="U74" i="6"/>
  <c r="V74" i="6" a="1"/>
  <c r="V74" i="6"/>
  <c r="W74" i="6" a="1"/>
  <c r="W74" i="6"/>
  <c r="X74" i="6" a="1"/>
  <c r="X74" i="6"/>
  <c r="Y74" i="6" a="1"/>
  <c r="Y74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<sst xmlns="http://schemas.openxmlformats.org/spreadsheetml/2006/main" count="471" uniqueCount="128">
  <si>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</si>
  <si>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</si>
  <si>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</si>
  <si>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</si>
  <si>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</si>
  <si>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</si>
  <si>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</si>
  <si>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</si>
  <si>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</si>
  <si>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</si>
  <si>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</si>
  <si>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</si>
  <si>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</si>
  <si>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</si>
  <si>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</si>
  <si>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</si>
  <si>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</si>
  <si>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</si>
  <si>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</si>
  <si>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</si>
  <si>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</si>
  <si>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</si>
  <si>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</si>
  <si>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</si>
  <si>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</si>
  <si>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</si>
  <si>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</si>
  <si>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</si>
  <si>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</si>
  <si>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</si>
  <si>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</si>
  <si>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</si>
  <si>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</si>
  <si>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</si>
  <si>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</si>
  <si>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</si>
  <si>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</si>
  <si>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</si>
  <si>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</si>
  <si>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</si>
  <si>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</si>
  <si>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</si>
  <si>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</si>
  <si>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</si>
  <si>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</si>
  <si>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</si>
  <si>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</si>
  <si>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</si>
  <si>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</si>
  <si>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</si>
  <si>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</si>
  <si>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</si>
  <si>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</si>
  <si>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</si>
  <si>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</si>
  <si>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</si>
  <si>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</si>
  <si>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</si>
  <si>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</si>
  <si>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#x#</t>
  </si>
  <si>
    <t>Costa do Marfim x Equador</t>
  </si>
  <si>
    <t>Países Baixos x Japão</t>
  </si>
  <si>
    <t>Suécia x Tunísia</t>
  </si>
  <si>
    <t>Bélgica x Egito</t>
  </si>
  <si>
    <t>Irã x Nova Zelândia</t>
  </si>
  <si>
    <t>Espanha x Cabo Verde</t>
  </si>
  <si>
    <t>Arábia Saudita x Uruguai</t>
  </si>
  <si>
    <t>França x Senegal</t>
  </si>
  <si>
    <t>Iraque x Noruega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</si>
  <si>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</si>
  <si>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</si>
  <si>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</si>
  <si>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</si>
  <si>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</si>
  <si>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</si>
  <si>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</si>
  <si>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</si>
  <si>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</si>
  <si>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</si>
  <si>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</si>
  <si>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</si>
  <si>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</si>
  <si>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</si>
  <si>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</si>
  <si>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</si>
  <si>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</si>
  <si>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</si>
  <si>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</si>
  <si>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</si>
  <si>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</si>
  <si>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</si>
  <si>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</si>
  <si>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</si>
  <si>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</si>
  <si>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</si>
  <si>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</si>
  <si>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</si>
  <si>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</si>
  <si>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</si>
  <si>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</si>
  <si>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</si>
  <si>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</si>
  <si>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</si>
  <si>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</si>
  <si>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</si>
  <si>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</si>
  <si>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</si>
  <si>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</si>
  <si>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</si>
  <si>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</si>
  <si>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</si>
  <si>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</si>
  <si>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</si>
  <si>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</si>
  <si>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</si>
  <si>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</si>
  <si>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</si>
  <si>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</si>
  <si>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</si>
  <si>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</si>
  <si>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</si>
  <si>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</si>
  <si>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</si>
  <si>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</si>
  <si>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7x1</t>
  </si>
  <si>
    <t>2x2</t>
  </si>
  <si>
    <t>1x0</t>
  </si>
  <si>
    <t>5x1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</si>
</sst>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0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6">
  <autoFilter ref="A4:B20" xr:uid="{49FA96F6-1C29-4184-8466-79C03B42EAD6}"/>
  <tableColumns count="2">
    <tableColumn id="1" xr3:uid="{377F1B03-9BE9-462A-A1BC-1F8EE6567180}" name="Participantes" dataDxfId="5"/>
    <tableColumn id="3" xr3:uid="{EF301B8F-51D1-4897-A7D7-3E56DAA9D6FC}" name="Pago" dataDxfId="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"/>
  <cols>
    <col min="1" max="1" width="24.75" customWidth="1"/>
    <col min="2" max="3" width="14.2578125" customWidth="1"/>
  </cols>
  <sheetData>
    <row r="1" spans="1:8" ht="21" x14ac:dyDescent="0.2">
      <c r="A1" s="117" t="s">
        <v>0</v>
      </c>
      <c r="B1" s="117"/>
      <c r="C1" s="13"/>
      <c r="D1" s="13"/>
      <c r="E1" s="13"/>
      <c r="F1" s="13"/>
      <c r="G1" s="13"/>
      <c r="H1" s="13"/>
    </row>
    <row r="2" spans="1:8" ht="15" customHeight="1" x14ac:dyDescent="0.2">
      <c r="A2" s="117"/>
      <c r="B2" s="117"/>
      <c r="C2" s="13"/>
      <c r="D2" s="13"/>
      <c r="E2" s="13"/>
      <c r="F2" s="13"/>
      <c r="G2" s="13"/>
      <c r="H2" s="13"/>
    </row>
    <row r="3" spans="1:8" ht="15" customHeight="1" x14ac:dyDescent="0.2">
      <c r="A3" s="117"/>
      <c r="B3" s="117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">
      <c r="A5" s="3" t="s">
        <v>3</v>
      </c>
      <c r="B5" s="1" t="s">
        <v>4</v>
      </c>
    </row>
    <row r="6" spans="1:8" x14ac:dyDescent="0.2">
      <c r="A6" s="3" t="s">
        <v>5</v>
      </c>
      <c r="B6" s="1" t="s">
        <v>4</v>
      </c>
    </row>
    <row r="7" spans="1:8" x14ac:dyDescent="0.2">
      <c r="A7" s="3" t="s">
        <v>6</v>
      </c>
      <c r="B7" s="1" t="s">
        <v>4</v>
      </c>
    </row>
    <row r="8" spans="1:8" x14ac:dyDescent="0.2">
      <c r="A8" s="3" t="s">
        <v>7</v>
      </c>
      <c r="B8" s="1" t="s">
        <v>4</v>
      </c>
    </row>
    <row r="9" spans="1:8" x14ac:dyDescent="0.2">
      <c r="A9" s="3" t="s">
        <v>8</v>
      </c>
      <c r="B9" s="1" t="s">
        <v>4</v>
      </c>
    </row>
    <row r="10" spans="1:8" x14ac:dyDescent="0.2">
      <c r="A10" s="3" t="s">
        <v>9</v>
      </c>
      <c r="B10" s="1" t="s">
        <v>4</v>
      </c>
    </row>
    <row r="11" spans="1:8" x14ac:dyDescent="0.2">
      <c r="A11" s="3" t="s">
        <v>10</v>
      </c>
      <c r="B11" s="1" t="s">
        <v>4</v>
      </c>
    </row>
    <row r="12" spans="1:8" x14ac:dyDescent="0.2">
      <c r="A12" s="3" t="s">
        <v>11</v>
      </c>
      <c r="B12" s="1" t="s">
        <v>4</v>
      </c>
    </row>
    <row r="13" spans="1:8" x14ac:dyDescent="0.2">
      <c r="A13" s="3" t="s">
        <v>12</v>
      </c>
      <c r="B13" s="1" t="s">
        <v>4</v>
      </c>
    </row>
    <row r="14" spans="1:8" x14ac:dyDescent="0.2">
      <c r="A14" s="3" t="s">
        <v>13</v>
      </c>
      <c r="B14" s="1" t="s">
        <v>4</v>
      </c>
    </row>
    <row r="15" spans="1:8" x14ac:dyDescent="0.2">
      <c r="A15" s="3" t="s">
        <v>14</v>
      </c>
      <c r="B15" s="1" t="s">
        <v>4</v>
      </c>
    </row>
    <row r="16" spans="1:8" x14ac:dyDescent="0.2">
      <c r="A16" s="3" t="s">
        <v>15</v>
      </c>
      <c r="B16" s="1" t="s">
        <v>4</v>
      </c>
    </row>
    <row r="17" spans="1:2" x14ac:dyDescent="0.2">
      <c r="A17" s="3" t="s">
        <v>16</v>
      </c>
      <c r="B17" s="1" t="s">
        <v>4</v>
      </c>
    </row>
    <row r="18" spans="1:2" x14ac:dyDescent="0.2">
      <c r="A18" s="3" t="s">
        <v>17</v>
      </c>
      <c r="B18" s="1" t="s">
        <v>4</v>
      </c>
    </row>
    <row r="19" spans="1:2" x14ac:dyDescent="0.2">
      <c r="A19" s="3" t="s">
        <v>18</v>
      </c>
      <c r="B19" s="1" t="s">
        <v>4</v>
      </c>
    </row>
    <row r="20" spans="1:2" x14ac:dyDescent="0.2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3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"/>
  <cols>
    <col min="1" max="1" width="5.6484375" customWidth="1"/>
    <col min="2" max="2" width="20.984375" customWidth="1"/>
    <col min="3" max="7" width="12.10546875" customWidth="1"/>
    <col min="9" max="9" width="22.8671875" customWidth="1"/>
    <col min="10" max="10" width="9.55078125" customWidth="1"/>
  </cols>
  <sheetData>
    <row r="1" spans="1:10" ht="30" customHeight="1" x14ac:dyDescent="0.2">
      <c r="A1" s="118" t="s">
        <v>20</v>
      </c>
      <c r="B1" s="119"/>
      <c r="C1" s="119"/>
      <c r="D1" s="119"/>
      <c r="E1" s="119"/>
      <c r="F1" s="119"/>
      <c r="G1" s="119"/>
    </row>
    <row r="3" spans="1:10" ht="30" customHeight="1" x14ac:dyDescent="0.2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2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G1" zoomScaleNormal="100" workbookViewId="0">
      <pane ySplit="1" topLeftCell="G2" activePane="bottomLeft" state="frozen"/>
      <selection activeCell="B1" sqref="B1"/>
      <selection pane="bottomLeft" activeCell="E13" sqref="E13"/>
    </sheetView>
  </sheetViews>
  <sheetFormatPr defaultRowHeight="15" x14ac:dyDescent="0.2"/>
  <cols>
    <col min="1" max="1" width="11.8359375" customWidth="1"/>
    <col min="2" max="2" width="32.41796875" customWidth="1"/>
    <col min="3" max="4" width="20.58203125" customWidth="1"/>
    <col min="5" max="5" width="12.5078125" customWidth="1"/>
    <col min="6" max="6" width="6.05078125" customWidth="1"/>
    <col min="7" max="29" width="16.41015625" customWidth="1"/>
  </cols>
  <sheetData>
    <row r="1" spans="1:30" ht="30" customHeight="1" thickBot="1" x14ac:dyDescent="0.25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02"/>
      <c r="G1" s="86" t="s">
        <v>3</v>
      </c>
      <c r="H1" s="85" t="s">
        <v>5</v>
      </c>
      <c r="I1" s="85" t="s">
        <v>6</v>
      </c>
      <c r="J1" s="85" t="s">
        <v>35</v>
      </c>
      <c r="K1" s="85" t="s">
        <v>7</v>
      </c>
      <c r="L1" s="85" t="s">
        <v>36</v>
      </c>
      <c r="M1" s="85" t="s">
        <v>8</v>
      </c>
      <c r="N1" s="85" t="s">
        <v>9</v>
      </c>
      <c r="O1" s="85" t="s">
        <v>18</v>
      </c>
      <c r="P1" s="85" t="s">
        <v>10</v>
      </c>
      <c r="Q1" s="85" t="s">
        <v>37</v>
      </c>
      <c r="R1" s="85" t="s">
        <v>11</v>
      </c>
      <c r="S1" s="85" t="s">
        <v>12</v>
      </c>
      <c r="T1" s="85" t="s">
        <v>13</v>
      </c>
      <c r="U1" s="85" t="s">
        <v>38</v>
      </c>
      <c r="V1" s="85" t="s">
        <v>14</v>
      </c>
      <c r="W1" s="85" t="s">
        <v>15</v>
      </c>
      <c r="X1" s="85" t="s">
        <v>16</v>
      </c>
      <c r="Y1" s="85" t="s">
        <v>17</v>
      </c>
      <c r="Z1" s="85" t="s">
        <v>19</v>
      </c>
      <c r="AA1" s="87" t="s">
        <v>39</v>
      </c>
      <c r="AB1" s="87" t="s">
        <v>40</v>
      </c>
      <c r="AC1" s="89" t="s">
        <v>41</v>
      </c>
    </row>
    <row r="2" spans="1:30" x14ac:dyDescent="0.2">
      <c r="A2" s="113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03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3" t="s">
        <v>44</v>
      </c>
      <c r="AA2" s="78">
        <f>IFERROR(VALUE(TRIM(LEFT($E2,SEARCH("x",$E2)-1))),"")</f>
        <v>2</v>
      </c>
      <c r="AB2" s="92">
        <f>IFERROR(VALUE(TRIM(MID($E2,SEARCH("x",$E2)+1,10))),"")</f>
        <v>0</v>
      </c>
      <c r="AC2" s="90" t="str">
        <f>IF(OR($AA2="",$AB2=""),"",IF($AA2&gt;$AB2,"A",IF($AA2&lt;$AB2,"B","E")))</f>
        <v>A</v>
      </c>
    </row>
    <row r="3" spans="1:30" ht="15.75" thickBot="1" x14ac:dyDescent="0.25">
      <c r="A3" s="114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04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80" t="s">
        <v>45</v>
      </c>
      <c r="AA3" s="84">
        <f t="shared" ref="AA3:AA20" si="2">IFERROR(VALUE(TRIM(LEFT($E3,SEARCH("x",$E3)-1))),"")</f>
        <v>2</v>
      </c>
      <c r="AB3" s="93">
        <f t="shared" ref="AB3:AB20" si="3">IFERROR(VALUE(TRIM(MID($E3,SEARCH("x",$E3)+1,10))),"")</f>
        <v>1</v>
      </c>
      <c r="AC3" s="88" t="str">
        <f>IF(OR($AA3="",$AB3=""),"",IF($AA3&gt;$AB3,"A",IF($AA3&lt;$AB3,"B","E")))</f>
        <v>A</v>
      </c>
    </row>
    <row r="4" spans="1:30" x14ac:dyDescent="0.2">
      <c r="A4" s="115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03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9" t="s">
        <v>45</v>
      </c>
      <c r="AA4" s="84">
        <f t="shared" si="2"/>
        <v>1</v>
      </c>
      <c r="AB4" s="93">
        <f t="shared" si="3"/>
        <v>1</v>
      </c>
      <c r="AC4" s="88" t="str">
        <f t="shared" ref="AC4:AC67" si="4">IF(OR($AA4="",$AB4=""),"",IF($AA4&gt;$AB4,"A",IF($AA4&lt;$AB4,"B","E")))</f>
        <v>E</v>
      </c>
      <c r="AD4" s="54"/>
    </row>
    <row r="5" spans="1:30" x14ac:dyDescent="0.2">
      <c r="A5" s="116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04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80" t="s">
        <v>44</v>
      </c>
      <c r="AA5" s="84">
        <f t="shared" si="2"/>
        <v>4</v>
      </c>
      <c r="AB5" s="93">
        <f t="shared" si="3"/>
        <v>1</v>
      </c>
      <c r="AC5" s="88" t="str">
        <f t="shared" si="4"/>
        <v>A</v>
      </c>
      <c r="AD5" s="54"/>
    </row>
    <row r="6" spans="1:30" x14ac:dyDescent="0.2">
      <c r="A6" s="109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03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9" t="s">
        <v>45</v>
      </c>
      <c r="AA6" s="84">
        <f t="shared" si="2"/>
        <v>1</v>
      </c>
      <c r="AB6" s="93">
        <f t="shared" si="3"/>
        <v>1</v>
      </c>
      <c r="AC6" s="88" t="str">
        <f t="shared" si="4"/>
        <v>E</v>
      </c>
      <c r="AD6" s="54"/>
    </row>
    <row r="7" spans="1:30" x14ac:dyDescent="0.2">
      <c r="A7" s="110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05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4">
        <f t="shared" si="2"/>
        <v>1</v>
      </c>
      <c r="AB7" s="93">
        <f t="shared" si="3"/>
        <v>1</v>
      </c>
      <c r="AC7" s="88" t="str">
        <f t="shared" si="4"/>
        <v>E</v>
      </c>
      <c r="AD7" s="54"/>
    </row>
    <row r="8" spans="1:30" x14ac:dyDescent="0.2">
      <c r="A8" s="111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06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81" t="s">
        <v>45</v>
      </c>
      <c r="AA8" s="84">
        <f t="shared" si="2"/>
        <v>0</v>
      </c>
      <c r="AB8" s="93">
        <f t="shared" si="3"/>
        <v>1</v>
      </c>
      <c r="AC8" s="88" t="str">
        <f t="shared" si="4"/>
        <v>B</v>
      </c>
      <c r="AD8" s="54"/>
    </row>
    <row r="9" spans="1:30" x14ac:dyDescent="0.2">
      <c r="A9" s="112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07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82" t="s">
        <v>45</v>
      </c>
      <c r="AA9" s="84">
        <f t="shared" si="2"/>
        <v>2</v>
      </c>
      <c r="AB9" s="93">
        <f t="shared" si="3"/>
        <v>0</v>
      </c>
      <c r="AC9" s="88" t="str">
        <f t="shared" si="4"/>
        <v>A</v>
      </c>
      <c r="AD9" s="54"/>
    </row>
    <row r="10" spans="1:30" x14ac:dyDescent="0.2">
      <c r="A10" s="94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124</v>
      </c>
      <c r="F10" s="103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9" t="s">
        <v>44</v>
      </c>
      <c r="AA10" s="84">
        <f t="shared" si="2"/>
        <v>7</v>
      </c>
      <c r="AB10" s="93">
        <f t="shared" si="3"/>
        <v>1</v>
      </c>
      <c r="AC10" s="88" t="str">
        <f t="shared" si="4"/>
        <v>A</v>
      </c>
      <c r="AD10" s="54"/>
    </row>
    <row r="11" spans="1:30" x14ac:dyDescent="0.2">
      <c r="A11" s="95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126</v>
      </c>
      <c r="F11" s="105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3" t="s">
        <v>45</v>
      </c>
      <c r="AA11" s="84">
        <f t="shared" si="2"/>
        <v>1</v>
      </c>
      <c r="AB11" s="93">
        <f t="shared" si="3"/>
        <v>0</v>
      </c>
      <c r="AC11" s="88" t="str">
        <f t="shared" si="4"/>
        <v>A</v>
      </c>
      <c r="AD11" s="54"/>
    </row>
    <row r="12" spans="1:30" x14ac:dyDescent="0.2">
      <c r="A12" s="96"/>
      <c r="B12" s="29" t="s">
        <v>61</v>
      </c>
      <c r="C12" s="41" t="str">
        <f t="shared" si="0"/>
        <v>Países Baixos</v>
      </c>
      <c r="D12" s="41" t="str">
        <f t="shared" si="1"/>
        <v>Japão</v>
      </c>
      <c r="E12" s="51" t="s">
        <v>125</v>
      </c>
      <c r="F12" s="106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81" t="s">
        <v>44</v>
      </c>
      <c r="AA12" s="84">
        <f t="shared" si="2"/>
        <v>2</v>
      </c>
      <c r="AB12" s="93">
        <f t="shared" si="3"/>
        <v>2</v>
      </c>
      <c r="AC12" s="88" t="str">
        <f t="shared" si="4"/>
        <v>E</v>
      </c>
      <c r="AD12" s="54"/>
    </row>
    <row r="13" spans="1:30" x14ac:dyDescent="0.2">
      <c r="A13" s="97"/>
      <c r="B13" s="30" t="s">
        <v>62</v>
      </c>
      <c r="C13" s="42" t="str">
        <f t="shared" si="0"/>
        <v>Suécia</v>
      </c>
      <c r="D13" s="42" t="str">
        <f t="shared" si="1"/>
        <v>Tunísia</v>
      </c>
      <c r="E13" s="52" t="s">
        <v>127</v>
      </c>
      <c r="F13" s="107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82" t="s">
        <v>44</v>
      </c>
      <c r="AA13" s="84">
        <f t="shared" si="2"/>
        <v>5</v>
      </c>
      <c r="AB13" s="93">
        <f t="shared" si="3"/>
        <v>1</v>
      </c>
      <c r="AC13" s="88" t="str">
        <f t="shared" si="4"/>
        <v>A</v>
      </c>
      <c r="AD13" s="54"/>
    </row>
    <row r="14" spans="1:30" x14ac:dyDescent="0.2">
      <c r="A14" s="109">
        <v>46188</v>
      </c>
      <c r="B14" s="24" t="s">
        <v>63</v>
      </c>
      <c r="C14" s="36" t="str">
        <f t="shared" si="0"/>
        <v>Bélgica</v>
      </c>
      <c r="D14" s="36" t="str">
        <f t="shared" si="1"/>
        <v>Egito</v>
      </c>
      <c r="E14" s="44" t="s">
        <v>59</v>
      </c>
      <c r="F14" s="103"/>
      <c r="G14" s="60"/>
      <c r="H14" s="61"/>
      <c r="I14" s="61"/>
      <c r="J14" s="61"/>
      <c r="K14" s="61"/>
      <c r="L14" s="61"/>
      <c r="M14" s="61"/>
      <c r="N14" s="61"/>
      <c r="O14" s="61"/>
      <c r="P14" s="61"/>
      <c r="Q14" s="61"/>
      <c r="R14" s="61"/>
      <c r="S14" s="61"/>
      <c r="T14" s="61"/>
      <c r="U14" s="62"/>
      <c r="V14" s="62"/>
      <c r="W14" s="62"/>
      <c r="X14" s="62"/>
      <c r="Y14" s="62"/>
      <c r="Z14" s="79"/>
      <c r="AA14" s="84" t="str">
        <f t="shared" si="2"/>
        <v/>
      </c>
      <c r="AB14" s="93" t="str">
        <f t="shared" si="3"/>
        <v/>
      </c>
      <c r="AC14" s="88" t="str">
        <f t="shared" si="4"/>
        <v/>
      </c>
      <c r="AD14" s="54"/>
    </row>
    <row r="15" spans="1:30" x14ac:dyDescent="0.2">
      <c r="A15" s="110"/>
      <c r="B15" s="25" t="s">
        <v>64</v>
      </c>
      <c r="C15" s="37" t="str">
        <f t="shared" si="0"/>
        <v>Irã</v>
      </c>
      <c r="D15" s="37" t="str">
        <f t="shared" si="1"/>
        <v>Nova Zelândia</v>
      </c>
      <c r="E15" s="47" t="s">
        <v>59</v>
      </c>
      <c r="F15" s="105"/>
      <c r="G15" s="63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56"/>
      <c r="V15" s="56"/>
      <c r="W15" s="56"/>
      <c r="X15" s="56"/>
      <c r="Y15" s="56"/>
      <c r="Z15" s="83"/>
      <c r="AA15" s="84" t="str">
        <f t="shared" si="2"/>
        <v/>
      </c>
      <c r="AB15" s="93" t="str">
        <f t="shared" si="3"/>
        <v/>
      </c>
      <c r="AC15" s="88" t="str">
        <f t="shared" si="4"/>
        <v/>
      </c>
      <c r="AD15" s="54"/>
    </row>
    <row r="16" spans="1:30" x14ac:dyDescent="0.2">
      <c r="A16" s="111"/>
      <c r="B16" s="26" t="s">
        <v>65</v>
      </c>
      <c r="C16" s="38" t="str">
        <f t="shared" si="0"/>
        <v>Espanha</v>
      </c>
      <c r="D16" s="38" t="str">
        <f t="shared" si="1"/>
        <v>Cabo Verde</v>
      </c>
      <c r="E16" s="48" t="s">
        <v>59</v>
      </c>
      <c r="F16" s="106"/>
      <c r="G16" s="65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7"/>
      <c r="V16" s="67"/>
      <c r="W16" s="67"/>
      <c r="X16" s="67"/>
      <c r="Y16" s="67"/>
      <c r="Z16" s="81"/>
      <c r="AA16" s="84" t="str">
        <f t="shared" si="2"/>
        <v/>
      </c>
      <c r="AB16" s="93" t="str">
        <f t="shared" si="3"/>
        <v/>
      </c>
      <c r="AC16" s="88" t="str">
        <f t="shared" si="4"/>
        <v/>
      </c>
      <c r="AD16" s="54"/>
    </row>
    <row r="17" spans="1:30" x14ac:dyDescent="0.2">
      <c r="A17" s="112"/>
      <c r="B17" s="27" t="s">
        <v>66</v>
      </c>
      <c r="C17" s="39" t="str">
        <f t="shared" si="0"/>
        <v>Arábia Saudita</v>
      </c>
      <c r="D17" s="39" t="str">
        <f t="shared" si="1"/>
        <v>Uruguai</v>
      </c>
      <c r="E17" s="49" t="s">
        <v>59</v>
      </c>
      <c r="F17" s="107"/>
      <c r="G17" s="68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70"/>
      <c r="V17" s="70"/>
      <c r="W17" s="70"/>
      <c r="X17" s="70"/>
      <c r="Y17" s="70"/>
      <c r="Z17" s="82"/>
      <c r="AA17" s="84" t="str">
        <f t="shared" si="2"/>
        <v/>
      </c>
      <c r="AB17" s="93" t="str">
        <f t="shared" si="3"/>
        <v/>
      </c>
      <c r="AC17" s="88" t="str">
        <f t="shared" si="4"/>
        <v/>
      </c>
      <c r="AD17" s="54"/>
    </row>
    <row r="18" spans="1:30" x14ac:dyDescent="0.2">
      <c r="A18" s="94">
        <v>46189</v>
      </c>
      <c r="B18" s="22" t="s">
        <v>67</v>
      </c>
      <c r="C18" s="34" t="str">
        <f t="shared" si="0"/>
        <v>França</v>
      </c>
      <c r="D18" s="34" t="str">
        <f t="shared" si="1"/>
        <v>Senegal</v>
      </c>
      <c r="E18" s="46" t="s">
        <v>59</v>
      </c>
      <c r="F18" s="103"/>
      <c r="G18" s="72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73"/>
      <c r="V18" s="73"/>
      <c r="W18" s="73"/>
      <c r="X18" s="73"/>
      <c r="Y18" s="73"/>
      <c r="Z18" s="79"/>
      <c r="AA18" s="84" t="str">
        <f t="shared" si="2"/>
        <v/>
      </c>
      <c r="AB18" s="93" t="str">
        <f t="shared" si="3"/>
        <v/>
      </c>
      <c r="AC18" s="88" t="str">
        <f t="shared" si="4"/>
        <v/>
      </c>
      <c r="AD18" s="54"/>
    </row>
    <row r="19" spans="1:30" x14ac:dyDescent="0.2">
      <c r="A19" s="95"/>
      <c r="B19" s="28" t="s">
        <v>68</v>
      </c>
      <c r="C19" s="40" t="str">
        <f t="shared" si="0"/>
        <v>Iraque</v>
      </c>
      <c r="D19" s="40" t="str">
        <f t="shared" si="1"/>
        <v>Noruega</v>
      </c>
      <c r="E19" s="50" t="s">
        <v>59</v>
      </c>
      <c r="F19" s="105"/>
      <c r="G19" s="63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56"/>
      <c r="V19" s="56"/>
      <c r="W19" s="56"/>
      <c r="X19" s="56"/>
      <c r="Y19" s="56"/>
      <c r="Z19" s="83"/>
      <c r="AA19" s="84" t="str">
        <f t="shared" si="2"/>
        <v/>
      </c>
      <c r="AB19" s="93" t="str">
        <f t="shared" si="3"/>
        <v/>
      </c>
      <c r="AC19" s="88" t="str">
        <f t="shared" si="4"/>
        <v/>
      </c>
      <c r="AD19" s="54"/>
    </row>
    <row r="20" spans="1:30" x14ac:dyDescent="0.2">
      <c r="A20" s="96"/>
      <c r="B20" s="29" t="s">
        <v>69</v>
      </c>
      <c r="C20" s="41" t="str">
        <f t="shared" si="0"/>
        <v>Argentina</v>
      </c>
      <c r="D20" s="41" t="str">
        <f t="shared" si="1"/>
        <v>Argélia</v>
      </c>
      <c r="E20" s="51" t="s">
        <v>59</v>
      </c>
      <c r="F20" s="106"/>
      <c r="G20" s="65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7"/>
      <c r="V20" s="67"/>
      <c r="W20" s="67"/>
      <c r="X20" s="67"/>
      <c r="Y20" s="67"/>
      <c r="Z20" s="81"/>
      <c r="AA20" s="84" t="str">
        <f t="shared" si="2"/>
        <v/>
      </c>
      <c r="AB20" s="93" t="str">
        <f t="shared" si="3"/>
        <v/>
      </c>
      <c r="AC20" s="88" t="str">
        <f t="shared" si="4"/>
        <v/>
      </c>
      <c r="AD20" s="54"/>
    </row>
    <row r="21" spans="1:30" x14ac:dyDescent="0.2">
      <c r="A21" s="97"/>
      <c r="B21" s="30" t="s">
        <v>70</v>
      </c>
      <c r="C21" s="42" t="str">
        <f t="shared" si="0"/>
        <v>Áustria</v>
      </c>
      <c r="D21" s="42" t="str">
        <f t="shared" si="1"/>
        <v>Jordânia</v>
      </c>
      <c r="E21" s="52" t="s">
        <v>59</v>
      </c>
      <c r="F21" s="107"/>
      <c r="G21" s="74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6"/>
      <c r="V21" s="76"/>
      <c r="W21" s="76"/>
      <c r="X21" s="76"/>
      <c r="Y21" s="76"/>
      <c r="Z21" s="82"/>
      <c r="AA21" s="84" t="str">
        <f t="shared" ref="AA21:AA73" si="5">IFERROR(VALUE(TRIM(LEFT($E21,SEARCH("x",$E21)-1))),"")</f>
        <v/>
      </c>
      <c r="AB21" s="93" t="str">
        <f t="shared" ref="AB21:AB73" si="6">IFERROR(VALUE(TRIM(MID($E21,SEARCH("x",$E21)+1,10))),"")</f>
        <v/>
      </c>
      <c r="AC21" s="88" t="str">
        <f t="shared" si="4"/>
        <v/>
      </c>
      <c r="AD21" s="54"/>
    </row>
    <row r="22" spans="1:30" x14ac:dyDescent="0.2">
      <c r="A22" s="109">
        <v>46190</v>
      </c>
      <c r="B22" s="24" t="s">
        <v>71</v>
      </c>
      <c r="C22" s="36" t="str">
        <f t="shared" si="0"/>
        <v>Portugal</v>
      </c>
      <c r="D22" s="36" t="str">
        <f t="shared" si="1"/>
        <v>Rep. Dem. Congo</v>
      </c>
      <c r="E22" s="44" t="s">
        <v>59</v>
      </c>
      <c r="F22" s="103"/>
      <c r="G22" s="63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56"/>
      <c r="V22" s="56"/>
      <c r="W22" s="56"/>
      <c r="X22" s="56"/>
      <c r="Y22" s="56"/>
      <c r="Z22" s="79"/>
      <c r="AA22" s="84" t="str">
        <f t="shared" si="5"/>
        <v/>
      </c>
      <c r="AB22" s="93" t="str">
        <f t="shared" si="6"/>
        <v/>
      </c>
      <c r="AC22" s="88" t="str">
        <f t="shared" si="4"/>
        <v/>
      </c>
      <c r="AD22" s="54"/>
    </row>
    <row r="23" spans="1:30" x14ac:dyDescent="0.2">
      <c r="A23" s="110"/>
      <c r="B23" s="25" t="s">
        <v>72</v>
      </c>
      <c r="C23" s="37" t="str">
        <f t="shared" si="0"/>
        <v>Uzbequistão</v>
      </c>
      <c r="D23" s="37" t="str">
        <f t="shared" si="1"/>
        <v>Colômbia</v>
      </c>
      <c r="E23" s="47" t="s">
        <v>59</v>
      </c>
      <c r="F23" s="105"/>
      <c r="G23" s="63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56"/>
      <c r="V23" s="56"/>
      <c r="W23" s="56"/>
      <c r="X23" s="56"/>
      <c r="Y23" s="56"/>
      <c r="Z23" s="83"/>
      <c r="AA23" s="84" t="str">
        <f t="shared" si="5"/>
        <v/>
      </c>
      <c r="AB23" s="93" t="str">
        <f t="shared" si="6"/>
        <v/>
      </c>
      <c r="AC23" s="88" t="str">
        <f t="shared" si="4"/>
        <v/>
      </c>
      <c r="AD23" s="54"/>
    </row>
    <row r="24" spans="1:30" x14ac:dyDescent="0.2">
      <c r="A24" s="111"/>
      <c r="B24" s="26" t="s">
        <v>73</v>
      </c>
      <c r="C24" s="38" t="str">
        <f t="shared" si="0"/>
        <v>Inglaterra</v>
      </c>
      <c r="D24" s="38" t="str">
        <f t="shared" si="1"/>
        <v>Croácia</v>
      </c>
      <c r="E24" s="48" t="s">
        <v>59</v>
      </c>
      <c r="F24" s="106"/>
      <c r="G24" s="65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7"/>
      <c r="V24" s="67"/>
      <c r="W24" s="67"/>
      <c r="X24" s="67"/>
      <c r="Y24" s="67"/>
      <c r="Z24" s="81"/>
      <c r="AA24" s="84" t="str">
        <f t="shared" si="5"/>
        <v/>
      </c>
      <c r="AB24" s="93" t="str">
        <f t="shared" si="6"/>
        <v/>
      </c>
      <c r="AC24" s="88" t="str">
        <f t="shared" si="4"/>
        <v/>
      </c>
      <c r="AD24" s="54"/>
    </row>
    <row r="25" spans="1:30" x14ac:dyDescent="0.2">
      <c r="A25" s="112"/>
      <c r="B25" s="27" t="s">
        <v>74</v>
      </c>
      <c r="C25" s="39" t="str">
        <f t="shared" si="0"/>
        <v>Gana</v>
      </c>
      <c r="D25" s="39" t="str">
        <f t="shared" si="1"/>
        <v>Panamá</v>
      </c>
      <c r="E25" s="49" t="s">
        <v>59</v>
      </c>
      <c r="F25" s="107"/>
      <c r="G25" s="68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70"/>
      <c r="V25" s="70"/>
      <c r="W25" s="70"/>
      <c r="X25" s="70"/>
      <c r="Y25" s="70"/>
      <c r="Z25" s="82"/>
      <c r="AA25" s="84" t="str">
        <f t="shared" si="5"/>
        <v/>
      </c>
      <c r="AB25" s="93" t="str">
        <f t="shared" si="6"/>
        <v/>
      </c>
      <c r="AC25" s="88" t="str">
        <f t="shared" si="4"/>
        <v/>
      </c>
      <c r="AD25" s="54"/>
    </row>
    <row r="26" spans="1:30" x14ac:dyDescent="0.2">
      <c r="A26" s="94">
        <v>46191</v>
      </c>
      <c r="B26" s="22" t="s">
        <v>75</v>
      </c>
      <c r="C26" s="34" t="str">
        <f t="shared" si="0"/>
        <v>Tchéquia</v>
      </c>
      <c r="D26" s="34" t="str">
        <f t="shared" si="1"/>
        <v>África do Sul</v>
      </c>
      <c r="E26" s="46" t="s">
        <v>59</v>
      </c>
      <c r="F26" s="103"/>
      <c r="G26" s="60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2"/>
      <c r="V26" s="62"/>
      <c r="W26" s="62"/>
      <c r="X26" s="62"/>
      <c r="Y26" s="62"/>
      <c r="Z26" s="79"/>
      <c r="AA26" s="84" t="str">
        <f t="shared" si="5"/>
        <v/>
      </c>
      <c r="AB26" s="93" t="str">
        <f t="shared" si="6"/>
        <v/>
      </c>
      <c r="AC26" s="88" t="str">
        <f t="shared" si="4"/>
        <v/>
      </c>
      <c r="AD26" s="54"/>
    </row>
    <row r="27" spans="1:30" x14ac:dyDescent="0.2">
      <c r="A27" s="95"/>
      <c r="B27" s="28" t="s">
        <v>76</v>
      </c>
      <c r="C27" s="40" t="str">
        <f t="shared" si="0"/>
        <v>México</v>
      </c>
      <c r="D27" s="40" t="str">
        <f t="shared" si="1"/>
        <v>Coreia do Sul</v>
      </c>
      <c r="E27" s="50" t="s">
        <v>59</v>
      </c>
      <c r="F27" s="105"/>
      <c r="G27" s="63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56"/>
      <c r="V27" s="56"/>
      <c r="W27" s="56"/>
      <c r="X27" s="56"/>
      <c r="Y27" s="56"/>
      <c r="Z27" s="83"/>
      <c r="AA27" s="84" t="str">
        <f t="shared" si="5"/>
        <v/>
      </c>
      <c r="AB27" s="93" t="str">
        <f t="shared" si="6"/>
        <v/>
      </c>
      <c r="AC27" s="88" t="str">
        <f t="shared" si="4"/>
        <v/>
      </c>
      <c r="AD27" s="54"/>
    </row>
    <row r="28" spans="1:30" x14ac:dyDescent="0.2">
      <c r="A28" s="96"/>
      <c r="B28" s="29" t="s">
        <v>77</v>
      </c>
      <c r="C28" s="41" t="str">
        <f t="shared" si="0"/>
        <v>Suíça</v>
      </c>
      <c r="D28" s="41" t="str">
        <f t="shared" si="1"/>
        <v>Bósnia e Herzeg.</v>
      </c>
      <c r="E28" s="51" t="s">
        <v>59</v>
      </c>
      <c r="F28" s="106"/>
      <c r="G28" s="65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7"/>
      <c r="V28" s="67"/>
      <c r="W28" s="67"/>
      <c r="X28" s="67"/>
      <c r="Y28" s="67"/>
      <c r="Z28" s="81"/>
      <c r="AA28" s="84" t="str">
        <f t="shared" si="5"/>
        <v/>
      </c>
      <c r="AB28" s="93" t="str">
        <f t="shared" si="6"/>
        <v/>
      </c>
      <c r="AC28" s="88" t="str">
        <f t="shared" si="4"/>
        <v/>
      </c>
      <c r="AD28" s="54"/>
    </row>
    <row r="29" spans="1:30" x14ac:dyDescent="0.2">
      <c r="A29" s="97"/>
      <c r="B29" s="30" t="s">
        <v>78</v>
      </c>
      <c r="C29" s="42" t="str">
        <f t="shared" si="0"/>
        <v>Canadá</v>
      </c>
      <c r="D29" s="42" t="str">
        <f t="shared" si="1"/>
        <v>Catar</v>
      </c>
      <c r="E29" s="52" t="s">
        <v>59</v>
      </c>
      <c r="F29" s="107"/>
      <c r="G29" s="68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70"/>
      <c r="V29" s="70"/>
      <c r="W29" s="70"/>
      <c r="X29" s="70"/>
      <c r="Y29" s="70"/>
      <c r="Z29" s="82"/>
      <c r="AA29" s="84" t="str">
        <f t="shared" si="5"/>
        <v/>
      </c>
      <c r="AB29" s="93" t="str">
        <f t="shared" si="6"/>
        <v/>
      </c>
      <c r="AC29" s="88" t="str">
        <f t="shared" si="4"/>
        <v/>
      </c>
      <c r="AD29" s="54"/>
    </row>
    <row r="30" spans="1:30" x14ac:dyDescent="0.2">
      <c r="A30" s="109">
        <v>46192</v>
      </c>
      <c r="B30" s="24" t="s">
        <v>79</v>
      </c>
      <c r="C30" s="36" t="str">
        <f t="shared" si="0"/>
        <v>Escócia</v>
      </c>
      <c r="D30" s="36" t="str">
        <f t="shared" si="1"/>
        <v>Marrocos</v>
      </c>
      <c r="E30" s="44" t="s">
        <v>59</v>
      </c>
      <c r="F30" s="103"/>
      <c r="G30" s="60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2"/>
      <c r="V30" s="62"/>
      <c r="W30" s="62"/>
      <c r="X30" s="62"/>
      <c r="Y30" s="62"/>
      <c r="Z30" s="79"/>
      <c r="AA30" s="84" t="str">
        <f t="shared" si="5"/>
        <v/>
      </c>
      <c r="AB30" s="93" t="str">
        <f t="shared" si="6"/>
        <v/>
      </c>
      <c r="AC30" s="88" t="str">
        <f t="shared" si="4"/>
        <v/>
      </c>
      <c r="AD30" s="54"/>
    </row>
    <row r="31" spans="1:30" x14ac:dyDescent="0.2">
      <c r="A31" s="110"/>
      <c r="B31" s="25" t="s">
        <v>80</v>
      </c>
      <c r="C31" s="37" t="str">
        <f t="shared" si="0"/>
        <v>Brasil</v>
      </c>
      <c r="D31" s="37" t="str">
        <f t="shared" si="1"/>
        <v>Haiti</v>
      </c>
      <c r="E31" s="47" t="s">
        <v>59</v>
      </c>
      <c r="F31" s="105"/>
      <c r="G31" s="63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56"/>
      <c r="V31" s="56"/>
      <c r="W31" s="56"/>
      <c r="X31" s="56"/>
      <c r="Y31" s="56"/>
      <c r="Z31" s="83"/>
      <c r="AA31" s="84" t="str">
        <f t="shared" si="5"/>
        <v/>
      </c>
      <c r="AB31" s="93" t="str">
        <f t="shared" si="6"/>
        <v/>
      </c>
      <c r="AC31" s="88" t="str">
        <f t="shared" si="4"/>
        <v/>
      </c>
      <c r="AD31" s="54"/>
    </row>
    <row r="32" spans="1:30" x14ac:dyDescent="0.2">
      <c r="A32" s="111"/>
      <c r="B32" s="26" t="s">
        <v>81</v>
      </c>
      <c r="C32" s="38" t="str">
        <f t="shared" si="0"/>
        <v>Estados Unidos</v>
      </c>
      <c r="D32" s="38" t="str">
        <f t="shared" si="1"/>
        <v>Austrália</v>
      </c>
      <c r="E32" s="48" t="s">
        <v>59</v>
      </c>
      <c r="F32" s="106"/>
      <c r="G32" s="65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7"/>
      <c r="V32" s="67"/>
      <c r="W32" s="67"/>
      <c r="X32" s="67"/>
      <c r="Y32" s="67"/>
      <c r="Z32" s="81"/>
      <c r="AA32" s="84" t="str">
        <f t="shared" si="5"/>
        <v/>
      </c>
      <c r="AB32" s="93" t="str">
        <f t="shared" si="6"/>
        <v/>
      </c>
      <c r="AC32" s="88" t="str">
        <f t="shared" si="4"/>
        <v/>
      </c>
      <c r="AD32" s="54"/>
    </row>
    <row r="33" spans="1:30" x14ac:dyDescent="0.2">
      <c r="A33" s="112"/>
      <c r="B33" s="27" t="s">
        <v>82</v>
      </c>
      <c r="C33" s="39" t="str">
        <f t="shared" si="0"/>
        <v>Turquia</v>
      </c>
      <c r="D33" s="39" t="str">
        <f t="shared" si="1"/>
        <v>Paraguai</v>
      </c>
      <c r="E33" s="49" t="s">
        <v>59</v>
      </c>
      <c r="F33" s="107"/>
      <c r="G33" s="68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70"/>
      <c r="V33" s="70"/>
      <c r="W33" s="70"/>
      <c r="X33" s="70"/>
      <c r="Y33" s="70"/>
      <c r="Z33" s="82"/>
      <c r="AA33" s="84" t="str">
        <f t="shared" si="5"/>
        <v/>
      </c>
      <c r="AB33" s="93" t="str">
        <f t="shared" si="6"/>
        <v/>
      </c>
      <c r="AC33" s="88" t="str">
        <f t="shared" si="4"/>
        <v/>
      </c>
      <c r="AD33" s="54"/>
    </row>
    <row r="34" spans="1:30" x14ac:dyDescent="0.2">
      <c r="A34" s="94">
        <v>46193</v>
      </c>
      <c r="B34" s="22" t="s">
        <v>83</v>
      </c>
      <c r="C34" s="34" t="str">
        <f t="shared" si="0"/>
        <v>Alemanha</v>
      </c>
      <c r="D34" s="34" t="str">
        <f t="shared" si="1"/>
        <v>Costa do Marfim</v>
      </c>
      <c r="E34" s="46" t="s">
        <v>59</v>
      </c>
      <c r="F34" s="103"/>
      <c r="G34" s="60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2"/>
      <c r="V34" s="62"/>
      <c r="W34" s="62"/>
      <c r="X34" s="62"/>
      <c r="Y34" s="62"/>
      <c r="Z34" s="79"/>
      <c r="AA34" s="84" t="str">
        <f t="shared" si="5"/>
        <v/>
      </c>
      <c r="AB34" s="93" t="str">
        <f t="shared" si="6"/>
        <v/>
      </c>
      <c r="AC34" s="88" t="str">
        <f t="shared" si="4"/>
        <v/>
      </c>
      <c r="AD34" s="54"/>
    </row>
    <row r="35" spans="1:30" x14ac:dyDescent="0.2">
      <c r="A35" s="95"/>
      <c r="B35" s="28" t="s">
        <v>84</v>
      </c>
      <c r="C35" s="40" t="str">
        <f t="shared" si="0"/>
        <v>Equador</v>
      </c>
      <c r="D35" s="40" t="str">
        <f t="shared" si="1"/>
        <v>Curaçao</v>
      </c>
      <c r="E35" s="50" t="s">
        <v>59</v>
      </c>
      <c r="F35" s="105"/>
      <c r="G35" s="63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56"/>
      <c r="V35" s="56"/>
      <c r="W35" s="56"/>
      <c r="X35" s="56"/>
      <c r="Y35" s="56"/>
      <c r="Z35" s="83"/>
      <c r="AA35" s="84" t="str">
        <f t="shared" si="5"/>
        <v/>
      </c>
      <c r="AB35" s="93" t="str">
        <f t="shared" si="6"/>
        <v/>
      </c>
      <c r="AC35" s="88" t="str">
        <f t="shared" si="4"/>
        <v/>
      </c>
      <c r="AD35" s="54"/>
    </row>
    <row r="36" spans="1:30" x14ac:dyDescent="0.2">
      <c r="A36" s="96"/>
      <c r="B36" s="29" t="s">
        <v>85</v>
      </c>
      <c r="C36" s="41" t="str">
        <f t="shared" si="0"/>
        <v>Países Baixos</v>
      </c>
      <c r="D36" s="41" t="str">
        <f t="shared" si="1"/>
        <v>Suécia</v>
      </c>
      <c r="E36" s="51" t="s">
        <v>59</v>
      </c>
      <c r="F36" s="106"/>
      <c r="G36" s="65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7"/>
      <c r="V36" s="67"/>
      <c r="W36" s="67"/>
      <c r="X36" s="67"/>
      <c r="Y36" s="67"/>
      <c r="Z36" s="81"/>
      <c r="AA36" s="84" t="str">
        <f t="shared" si="5"/>
        <v/>
      </c>
      <c r="AB36" s="93" t="str">
        <f t="shared" si="6"/>
        <v/>
      </c>
      <c r="AC36" s="88" t="str">
        <f t="shared" si="4"/>
        <v/>
      </c>
      <c r="AD36" s="54"/>
    </row>
    <row r="37" spans="1:30" x14ac:dyDescent="0.2">
      <c r="A37" s="97"/>
      <c r="B37" s="30" t="s">
        <v>86</v>
      </c>
      <c r="C37" s="42" t="str">
        <f t="shared" si="0"/>
        <v>Tunísia</v>
      </c>
      <c r="D37" s="42" t="str">
        <f t="shared" si="1"/>
        <v>Japão</v>
      </c>
      <c r="E37" s="52" t="s">
        <v>59</v>
      </c>
      <c r="F37" s="107"/>
      <c r="G37" s="68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70"/>
      <c r="V37" s="70"/>
      <c r="W37" s="70"/>
      <c r="X37" s="70"/>
      <c r="Y37" s="70"/>
      <c r="Z37" s="82"/>
      <c r="AA37" s="84" t="str">
        <f t="shared" si="5"/>
        <v/>
      </c>
      <c r="AB37" s="93" t="str">
        <f t="shared" si="6"/>
        <v/>
      </c>
      <c r="AC37" s="88" t="str">
        <f t="shared" si="4"/>
        <v/>
      </c>
      <c r="AD37" s="54"/>
    </row>
    <row r="38" spans="1:30" x14ac:dyDescent="0.2">
      <c r="A38" s="109">
        <v>46194</v>
      </c>
      <c r="B38" s="24" t="s">
        <v>87</v>
      </c>
      <c r="C38" s="36" t="str">
        <f t="shared" si="0"/>
        <v>Bélgica</v>
      </c>
      <c r="D38" s="36" t="str">
        <f t="shared" si="1"/>
        <v>Irã</v>
      </c>
      <c r="E38" s="44" t="s">
        <v>59</v>
      </c>
      <c r="F38" s="103"/>
      <c r="G38" s="60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2"/>
      <c r="V38" s="62"/>
      <c r="W38" s="62"/>
      <c r="X38" s="62"/>
      <c r="Y38" s="62"/>
      <c r="Z38" s="79"/>
      <c r="AA38" s="84" t="str">
        <f t="shared" si="5"/>
        <v/>
      </c>
      <c r="AB38" s="93" t="str">
        <f t="shared" si="6"/>
        <v/>
      </c>
      <c r="AC38" s="88" t="str">
        <f t="shared" si="4"/>
        <v/>
      </c>
      <c r="AD38" s="54"/>
    </row>
    <row r="39" spans="1:30" x14ac:dyDescent="0.2">
      <c r="A39" s="110"/>
      <c r="B39" s="25" t="s">
        <v>88</v>
      </c>
      <c r="C39" s="37" t="str">
        <f t="shared" si="0"/>
        <v>Nova Zelândia</v>
      </c>
      <c r="D39" s="37" t="str">
        <f t="shared" si="1"/>
        <v>Egito</v>
      </c>
      <c r="E39" s="47" t="s">
        <v>59</v>
      </c>
      <c r="F39" s="105"/>
      <c r="G39" s="63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56"/>
      <c r="V39" s="56"/>
      <c r="W39" s="56"/>
      <c r="X39" s="56"/>
      <c r="Y39" s="56"/>
      <c r="Z39" s="83"/>
      <c r="AA39" s="84" t="str">
        <f t="shared" si="5"/>
        <v/>
      </c>
      <c r="AB39" s="93" t="str">
        <f t="shared" si="6"/>
        <v/>
      </c>
      <c r="AC39" s="88" t="str">
        <f t="shared" si="4"/>
        <v/>
      </c>
      <c r="AD39" s="54"/>
    </row>
    <row r="40" spans="1:30" x14ac:dyDescent="0.2">
      <c r="A40" s="111"/>
      <c r="B40" s="26" t="s">
        <v>89</v>
      </c>
      <c r="C40" s="38" t="str">
        <f t="shared" si="0"/>
        <v>Espanha</v>
      </c>
      <c r="D40" s="38" t="str">
        <f t="shared" si="1"/>
        <v>Arábia Saudita</v>
      </c>
      <c r="E40" s="48" t="s">
        <v>59</v>
      </c>
      <c r="F40" s="106"/>
      <c r="G40" s="65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7"/>
      <c r="V40" s="67"/>
      <c r="W40" s="67"/>
      <c r="X40" s="67"/>
      <c r="Y40" s="67"/>
      <c r="Z40" s="81"/>
      <c r="AA40" s="84" t="str">
        <f t="shared" si="5"/>
        <v/>
      </c>
      <c r="AB40" s="93" t="str">
        <f t="shared" si="6"/>
        <v/>
      </c>
      <c r="AC40" s="88" t="str">
        <f t="shared" si="4"/>
        <v/>
      </c>
      <c r="AD40" s="54"/>
    </row>
    <row r="41" spans="1:30" x14ac:dyDescent="0.2">
      <c r="A41" s="112"/>
      <c r="B41" s="27" t="s">
        <v>90</v>
      </c>
      <c r="C41" s="39" t="str">
        <f t="shared" si="0"/>
        <v>Uruguai</v>
      </c>
      <c r="D41" s="39" t="str">
        <f t="shared" si="1"/>
        <v>Cabo Verde</v>
      </c>
      <c r="E41" s="49" t="s">
        <v>59</v>
      </c>
      <c r="F41" s="107"/>
      <c r="G41" s="68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0"/>
      <c r="V41" s="70"/>
      <c r="W41" s="70"/>
      <c r="X41" s="70"/>
      <c r="Y41" s="70"/>
      <c r="Z41" s="82"/>
      <c r="AA41" s="84" t="str">
        <f t="shared" si="5"/>
        <v/>
      </c>
      <c r="AB41" s="93" t="str">
        <f t="shared" si="6"/>
        <v/>
      </c>
      <c r="AC41" s="88" t="str">
        <f t="shared" si="4"/>
        <v/>
      </c>
      <c r="AD41" s="54"/>
    </row>
    <row r="42" spans="1:30" x14ac:dyDescent="0.2">
      <c r="A42" s="94">
        <v>46195</v>
      </c>
      <c r="B42" s="22" t="s">
        <v>91</v>
      </c>
      <c r="C42" s="34" t="str">
        <f t="shared" si="0"/>
        <v>França</v>
      </c>
      <c r="D42" s="34" t="str">
        <f t="shared" si="1"/>
        <v>Iraque</v>
      </c>
      <c r="E42" s="46" t="s">
        <v>59</v>
      </c>
      <c r="F42" s="103"/>
      <c r="G42" s="60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2"/>
      <c r="V42" s="62"/>
      <c r="W42" s="62"/>
      <c r="X42" s="62"/>
      <c r="Y42" s="62"/>
      <c r="Z42" s="79"/>
      <c r="AA42" s="84" t="str">
        <f t="shared" si="5"/>
        <v/>
      </c>
      <c r="AB42" s="93" t="str">
        <f t="shared" si="6"/>
        <v/>
      </c>
      <c r="AC42" s="88" t="str">
        <f t="shared" si="4"/>
        <v/>
      </c>
      <c r="AD42" s="54"/>
    </row>
    <row r="43" spans="1:30" x14ac:dyDescent="0.2">
      <c r="A43" s="95"/>
      <c r="B43" s="28" t="s">
        <v>92</v>
      </c>
      <c r="C43" s="40" t="str">
        <f t="shared" si="0"/>
        <v>Noruega</v>
      </c>
      <c r="D43" s="40" t="str">
        <f t="shared" si="1"/>
        <v>Senegal</v>
      </c>
      <c r="E43" s="50" t="s">
        <v>59</v>
      </c>
      <c r="F43" s="105"/>
      <c r="G43" s="63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56"/>
      <c r="V43" s="56"/>
      <c r="W43" s="56"/>
      <c r="X43" s="56"/>
      <c r="Y43" s="56"/>
      <c r="Z43" s="83"/>
      <c r="AA43" s="84" t="str">
        <f t="shared" si="5"/>
        <v/>
      </c>
      <c r="AB43" s="93" t="str">
        <f t="shared" si="6"/>
        <v/>
      </c>
      <c r="AC43" s="88" t="str">
        <f t="shared" si="4"/>
        <v/>
      </c>
      <c r="AD43" s="54"/>
    </row>
    <row r="44" spans="1:30" x14ac:dyDescent="0.2">
      <c r="A44" s="96"/>
      <c r="B44" s="29" t="s">
        <v>93</v>
      </c>
      <c r="C44" s="41" t="str">
        <f t="shared" si="0"/>
        <v>Argentina</v>
      </c>
      <c r="D44" s="41" t="str">
        <f t="shared" si="1"/>
        <v>Áustria</v>
      </c>
      <c r="E44" s="51" t="s">
        <v>59</v>
      </c>
      <c r="F44" s="106"/>
      <c r="G44" s="65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7"/>
      <c r="V44" s="67"/>
      <c r="W44" s="67"/>
      <c r="X44" s="67"/>
      <c r="Y44" s="67"/>
      <c r="Z44" s="81"/>
      <c r="AA44" s="84" t="str">
        <f t="shared" si="5"/>
        <v/>
      </c>
      <c r="AB44" s="93" t="str">
        <f t="shared" si="6"/>
        <v/>
      </c>
      <c r="AC44" s="88" t="str">
        <f t="shared" si="4"/>
        <v/>
      </c>
      <c r="AD44" s="54"/>
    </row>
    <row r="45" spans="1:30" x14ac:dyDescent="0.2">
      <c r="A45" s="97"/>
      <c r="B45" s="30" t="s">
        <v>94</v>
      </c>
      <c r="C45" s="42" t="str">
        <f t="shared" si="0"/>
        <v>Jordânia</v>
      </c>
      <c r="D45" s="42" t="str">
        <f t="shared" si="1"/>
        <v>Argélia</v>
      </c>
      <c r="E45" s="52" t="s">
        <v>59</v>
      </c>
      <c r="F45" s="107"/>
      <c r="G45" s="68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70"/>
      <c r="V45" s="70"/>
      <c r="W45" s="70"/>
      <c r="X45" s="70"/>
      <c r="Y45" s="70"/>
      <c r="Z45" s="82"/>
      <c r="AA45" s="84" t="str">
        <f t="shared" si="5"/>
        <v/>
      </c>
      <c r="AB45" s="93" t="str">
        <f t="shared" si="6"/>
        <v/>
      </c>
      <c r="AC45" s="88" t="str">
        <f t="shared" si="4"/>
        <v/>
      </c>
      <c r="AD45" s="54"/>
    </row>
    <row r="46" spans="1:30" x14ac:dyDescent="0.2">
      <c r="A46" s="109">
        <v>46196</v>
      </c>
      <c r="B46" s="24" t="s">
        <v>95</v>
      </c>
      <c r="C46" s="36" t="str">
        <f t="shared" si="0"/>
        <v>Portugal</v>
      </c>
      <c r="D46" s="36" t="str">
        <f t="shared" si="1"/>
        <v>Uzbequistão</v>
      </c>
      <c r="E46" s="44" t="s">
        <v>59</v>
      </c>
      <c r="F46" s="103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9"/>
      <c r="AA46" s="84" t="str">
        <f t="shared" si="5"/>
        <v/>
      </c>
      <c r="AB46" s="93" t="str">
        <f t="shared" si="6"/>
        <v/>
      </c>
      <c r="AC46" s="88" t="str">
        <f t="shared" si="4"/>
        <v/>
      </c>
      <c r="AD46" s="54"/>
    </row>
    <row r="47" spans="1:30" x14ac:dyDescent="0.2">
      <c r="A47" s="110"/>
      <c r="B47" s="25" t="s">
        <v>96</v>
      </c>
      <c r="C47" s="37" t="str">
        <f t="shared" si="0"/>
        <v>Colômbia</v>
      </c>
      <c r="D47" s="37" t="str">
        <f t="shared" si="1"/>
        <v>Rep. Dem. Congo</v>
      </c>
      <c r="E47" s="47" t="s">
        <v>59</v>
      </c>
      <c r="F47" s="105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3"/>
      <c r="AA47" s="84" t="str">
        <f t="shared" si="5"/>
        <v/>
      </c>
      <c r="AB47" s="93" t="str">
        <f t="shared" si="6"/>
        <v/>
      </c>
      <c r="AC47" s="88" t="str">
        <f t="shared" si="4"/>
        <v/>
      </c>
      <c r="AD47" s="54"/>
    </row>
    <row r="48" spans="1:30" x14ac:dyDescent="0.2">
      <c r="A48" s="111"/>
      <c r="B48" s="26" t="s">
        <v>97</v>
      </c>
      <c r="C48" s="38" t="str">
        <f t="shared" si="0"/>
        <v>Inglaterra</v>
      </c>
      <c r="D48" s="38" t="str">
        <f t="shared" si="1"/>
        <v>Gana</v>
      </c>
      <c r="E48" s="48" t="s">
        <v>59</v>
      </c>
      <c r="F48" s="106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81"/>
      <c r="AA48" s="84" t="str">
        <f t="shared" si="5"/>
        <v/>
      </c>
      <c r="AB48" s="93" t="str">
        <f t="shared" si="6"/>
        <v/>
      </c>
      <c r="AC48" s="88" t="str">
        <f t="shared" si="4"/>
        <v/>
      </c>
      <c r="AD48" s="54"/>
    </row>
    <row r="49" spans="1:30" x14ac:dyDescent="0.2">
      <c r="A49" s="112"/>
      <c r="B49" s="27" t="s">
        <v>98</v>
      </c>
      <c r="C49" s="39" t="str">
        <f t="shared" si="0"/>
        <v>Panamá</v>
      </c>
      <c r="D49" s="39" t="str">
        <f t="shared" si="1"/>
        <v>Croácia</v>
      </c>
      <c r="E49" s="49" t="s">
        <v>59</v>
      </c>
      <c r="F49" s="107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82"/>
      <c r="AA49" s="84" t="str">
        <f t="shared" si="5"/>
        <v/>
      </c>
      <c r="AB49" s="93" t="str">
        <f t="shared" si="6"/>
        <v/>
      </c>
      <c r="AC49" s="88" t="str">
        <f t="shared" si="4"/>
        <v/>
      </c>
      <c r="AD49" s="54"/>
    </row>
    <row r="50" spans="1:30" x14ac:dyDescent="0.2">
      <c r="A50" s="94">
        <v>46197</v>
      </c>
      <c r="B50" s="22" t="s">
        <v>99</v>
      </c>
      <c r="C50" s="34" t="str">
        <f t="shared" si="0"/>
        <v>África do Sul</v>
      </c>
      <c r="D50" s="34" t="str">
        <f t="shared" si="1"/>
        <v>Coreia do Sul</v>
      </c>
      <c r="E50" s="46" t="s">
        <v>59</v>
      </c>
      <c r="F50" s="103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9"/>
      <c r="AA50" s="84" t="str">
        <f t="shared" si="5"/>
        <v/>
      </c>
      <c r="AB50" s="93" t="str">
        <f t="shared" si="6"/>
        <v/>
      </c>
      <c r="AC50" s="88" t="str">
        <f t="shared" si="4"/>
        <v/>
      </c>
      <c r="AD50" s="54"/>
    </row>
    <row r="51" spans="1:30" x14ac:dyDescent="0.2">
      <c r="A51" s="95"/>
      <c r="B51" s="28" t="s">
        <v>100</v>
      </c>
      <c r="C51" s="40" t="str">
        <f t="shared" si="0"/>
        <v>Tchéquia</v>
      </c>
      <c r="D51" s="40" t="str">
        <f t="shared" si="1"/>
        <v>México</v>
      </c>
      <c r="E51" s="50" t="s">
        <v>59</v>
      </c>
      <c r="F51" s="105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3"/>
      <c r="AA51" s="84" t="str">
        <f t="shared" si="5"/>
        <v/>
      </c>
      <c r="AB51" s="93" t="str">
        <f t="shared" si="6"/>
        <v/>
      </c>
      <c r="AC51" s="88" t="str">
        <f t="shared" si="4"/>
        <v/>
      </c>
      <c r="AD51" s="54"/>
    </row>
    <row r="52" spans="1:30" x14ac:dyDescent="0.2">
      <c r="A52" s="96"/>
      <c r="B52" s="29" t="s">
        <v>101</v>
      </c>
      <c r="C52" s="41" t="str">
        <f t="shared" si="0"/>
        <v>Suíça</v>
      </c>
      <c r="D52" s="41" t="str">
        <f t="shared" si="1"/>
        <v>Canadá</v>
      </c>
      <c r="E52" s="51" t="s">
        <v>59</v>
      </c>
      <c r="F52" s="106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81"/>
      <c r="AA52" s="84" t="str">
        <f t="shared" si="5"/>
        <v/>
      </c>
      <c r="AB52" s="93" t="str">
        <f t="shared" si="6"/>
        <v/>
      </c>
      <c r="AC52" s="88" t="str">
        <f t="shared" si="4"/>
        <v/>
      </c>
      <c r="AD52" s="54"/>
    </row>
    <row r="53" spans="1:30" x14ac:dyDescent="0.2">
      <c r="A53" s="96"/>
      <c r="B53" s="29" t="s">
        <v>102</v>
      </c>
      <c r="C53" s="41" t="str">
        <f t="shared" si="0"/>
        <v>Bósnia e Herzeg.</v>
      </c>
      <c r="D53" s="41" t="str">
        <f t="shared" si="1"/>
        <v>Catar</v>
      </c>
      <c r="E53" s="51" t="s">
        <v>59</v>
      </c>
      <c r="F53" s="106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X53" s="67"/>
      <c r="Y53" s="67"/>
      <c r="Z53" s="81"/>
      <c r="AA53" s="84" t="str">
        <f t="shared" si="5"/>
        <v/>
      </c>
      <c r="AB53" s="93" t="str">
        <f t="shared" si="6"/>
        <v/>
      </c>
      <c r="AC53" s="88" t="str">
        <f t="shared" si="4"/>
        <v/>
      </c>
      <c r="AD53" s="54"/>
    </row>
    <row r="54" spans="1:30" x14ac:dyDescent="0.2">
      <c r="A54" s="96"/>
      <c r="B54" s="29" t="s">
        <v>103</v>
      </c>
      <c r="C54" s="41" t="str">
        <f t="shared" si="0"/>
        <v>Marrocos</v>
      </c>
      <c r="D54" s="41" t="str">
        <f t="shared" si="1"/>
        <v>Haiti</v>
      </c>
      <c r="E54" s="51" t="s">
        <v>59</v>
      </c>
      <c r="F54" s="106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81"/>
      <c r="AA54" s="84" t="str">
        <f t="shared" si="5"/>
        <v/>
      </c>
      <c r="AB54" s="93" t="str">
        <f t="shared" si="6"/>
        <v/>
      </c>
      <c r="AC54" s="88" t="str">
        <f t="shared" si="4"/>
        <v/>
      </c>
      <c r="AD54" s="54"/>
    </row>
    <row r="55" spans="1:30" x14ac:dyDescent="0.2">
      <c r="A55" s="97"/>
      <c r="B55" s="30" t="s">
        <v>104</v>
      </c>
      <c r="C55" s="42" t="str">
        <f t="shared" si="0"/>
        <v>Escócia</v>
      </c>
      <c r="D55" s="42" t="str">
        <f t="shared" si="1"/>
        <v>Brasil</v>
      </c>
      <c r="E55" s="52" t="s">
        <v>59</v>
      </c>
      <c r="F55" s="107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82"/>
      <c r="AA55" s="84" t="str">
        <f t="shared" si="5"/>
        <v/>
      </c>
      <c r="AB55" s="93" t="str">
        <f t="shared" si="6"/>
        <v/>
      </c>
      <c r="AC55" s="88" t="str">
        <f t="shared" si="4"/>
        <v/>
      </c>
      <c r="AD55" s="54"/>
    </row>
    <row r="56" spans="1:30" x14ac:dyDescent="0.2">
      <c r="A56" s="109">
        <v>46198</v>
      </c>
      <c r="B56" s="24" t="s">
        <v>105</v>
      </c>
      <c r="C56" s="36" t="str">
        <f t="shared" si="0"/>
        <v>Turquia</v>
      </c>
      <c r="D56" s="36" t="str">
        <f t="shared" si="1"/>
        <v>Estados Unidos</v>
      </c>
      <c r="E56" s="44" t="s">
        <v>59</v>
      </c>
      <c r="F56" s="103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9"/>
      <c r="AA56" s="84" t="str">
        <f t="shared" si="5"/>
        <v/>
      </c>
      <c r="AB56" s="93" t="str">
        <f t="shared" si="6"/>
        <v/>
      </c>
      <c r="AC56" s="88" t="str">
        <f t="shared" si="4"/>
        <v/>
      </c>
      <c r="AD56" s="54"/>
    </row>
    <row r="57" spans="1:30" x14ac:dyDescent="0.2">
      <c r="A57" s="110"/>
      <c r="B57" s="25" t="s">
        <v>106</v>
      </c>
      <c r="C57" s="37" t="str">
        <f t="shared" si="0"/>
        <v>Paraguai</v>
      </c>
      <c r="D57" s="37" t="str">
        <f t="shared" si="1"/>
        <v>Austrália</v>
      </c>
      <c r="E57" s="47" t="s">
        <v>59</v>
      </c>
      <c r="F57" s="105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3"/>
      <c r="AA57" s="84" t="str">
        <f t="shared" si="5"/>
        <v/>
      </c>
      <c r="AB57" s="93" t="str">
        <f t="shared" si="6"/>
        <v/>
      </c>
      <c r="AC57" s="88" t="str">
        <f t="shared" si="4"/>
        <v/>
      </c>
      <c r="AD57" s="54"/>
    </row>
    <row r="58" spans="1:30" x14ac:dyDescent="0.2">
      <c r="A58" s="111"/>
      <c r="B58" s="26" t="s">
        <v>107</v>
      </c>
      <c r="C58" s="38" t="str">
        <f t="shared" si="0"/>
        <v>Curaçao</v>
      </c>
      <c r="D58" s="38" t="str">
        <f t="shared" si="1"/>
        <v>Costa do Marfim</v>
      </c>
      <c r="E58" s="48" t="s">
        <v>59</v>
      </c>
      <c r="F58" s="106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81"/>
      <c r="AA58" s="84" t="str">
        <f t="shared" si="5"/>
        <v/>
      </c>
      <c r="AB58" s="93" t="str">
        <f t="shared" si="6"/>
        <v/>
      </c>
      <c r="AC58" s="88" t="str">
        <f t="shared" si="4"/>
        <v/>
      </c>
      <c r="AD58" s="54"/>
    </row>
    <row r="59" spans="1:30" x14ac:dyDescent="0.2">
      <c r="A59" s="111"/>
      <c r="B59" s="26" t="s">
        <v>108</v>
      </c>
      <c r="C59" s="38" t="str">
        <f t="shared" si="0"/>
        <v>Equador</v>
      </c>
      <c r="D59" s="38" t="str">
        <f t="shared" si="1"/>
        <v>Alemanha</v>
      </c>
      <c r="E59" s="48" t="s">
        <v>59</v>
      </c>
      <c r="F59" s="106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81"/>
      <c r="AA59" s="84" t="str">
        <f t="shared" si="5"/>
        <v/>
      </c>
      <c r="AB59" s="93" t="str">
        <f t="shared" si="6"/>
        <v/>
      </c>
      <c r="AC59" s="88" t="str">
        <f t="shared" si="4"/>
        <v/>
      </c>
      <c r="AD59" s="54"/>
    </row>
    <row r="60" spans="1:30" x14ac:dyDescent="0.2">
      <c r="A60" s="111"/>
      <c r="B60" s="26" t="s">
        <v>109</v>
      </c>
      <c r="C60" s="38" t="str">
        <f t="shared" si="0"/>
        <v>Tunísia</v>
      </c>
      <c r="D60" s="38" t="str">
        <f t="shared" si="1"/>
        <v>Países Baixos</v>
      </c>
      <c r="E60" s="48" t="s">
        <v>59</v>
      </c>
      <c r="F60" s="106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81"/>
      <c r="AA60" s="84" t="str">
        <f t="shared" si="5"/>
        <v/>
      </c>
      <c r="AB60" s="93" t="str">
        <f t="shared" si="6"/>
        <v/>
      </c>
      <c r="AC60" s="88" t="str">
        <f t="shared" si="4"/>
        <v/>
      </c>
      <c r="AD60" s="54"/>
    </row>
    <row r="61" spans="1:30" x14ac:dyDescent="0.2">
      <c r="A61" s="112"/>
      <c r="B61" s="27" t="s">
        <v>110</v>
      </c>
      <c r="C61" s="39" t="str">
        <f t="shared" si="0"/>
        <v>Japão</v>
      </c>
      <c r="D61" s="39" t="str">
        <f t="shared" si="1"/>
        <v>Suécia</v>
      </c>
      <c r="E61" s="49" t="s">
        <v>59</v>
      </c>
      <c r="F61" s="107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82"/>
      <c r="AA61" s="84" t="str">
        <f t="shared" si="5"/>
        <v/>
      </c>
      <c r="AB61" s="93" t="str">
        <f t="shared" si="6"/>
        <v/>
      </c>
      <c r="AC61" s="88" t="str">
        <f t="shared" si="4"/>
        <v/>
      </c>
      <c r="AD61" s="54"/>
    </row>
    <row r="62" spans="1:30" x14ac:dyDescent="0.2">
      <c r="A62" s="94">
        <v>46199</v>
      </c>
      <c r="B62" s="22" t="s">
        <v>111</v>
      </c>
      <c r="C62" s="34" t="str">
        <f t="shared" si="0"/>
        <v>Nova Zelândia</v>
      </c>
      <c r="D62" s="34" t="str">
        <f t="shared" si="1"/>
        <v>Bélgica</v>
      </c>
      <c r="E62" s="46" t="s">
        <v>59</v>
      </c>
      <c r="F62" s="103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9"/>
      <c r="AA62" s="84" t="str">
        <f t="shared" si="5"/>
        <v/>
      </c>
      <c r="AB62" s="93" t="str">
        <f t="shared" si="6"/>
        <v/>
      </c>
      <c r="AC62" s="88" t="str">
        <f t="shared" si="4"/>
        <v/>
      </c>
      <c r="AD62" s="54"/>
    </row>
    <row r="63" spans="1:30" x14ac:dyDescent="0.2">
      <c r="A63" s="95"/>
      <c r="B63" s="28" t="s">
        <v>112</v>
      </c>
      <c r="C63" s="40" t="str">
        <f t="shared" si="0"/>
        <v>Egito</v>
      </c>
      <c r="D63" s="40" t="str">
        <f t="shared" si="1"/>
        <v>Irã</v>
      </c>
      <c r="E63" s="50" t="s">
        <v>59</v>
      </c>
      <c r="F63" s="105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3"/>
      <c r="AA63" s="84" t="str">
        <f t="shared" si="5"/>
        <v/>
      </c>
      <c r="AB63" s="93" t="str">
        <f t="shared" si="6"/>
        <v/>
      </c>
      <c r="AC63" s="88" t="str">
        <f t="shared" si="4"/>
        <v/>
      </c>
      <c r="AD63" s="54"/>
    </row>
    <row r="64" spans="1:30" x14ac:dyDescent="0.2">
      <c r="A64" s="96"/>
      <c r="B64" s="29" t="s">
        <v>113</v>
      </c>
      <c r="C64" s="41" t="str">
        <f t="shared" si="0"/>
        <v>Cabo Verde</v>
      </c>
      <c r="D64" s="41" t="str">
        <f t="shared" si="1"/>
        <v>Arábia Saudita</v>
      </c>
      <c r="E64" s="51" t="s">
        <v>59</v>
      </c>
      <c r="F64" s="106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81"/>
      <c r="AA64" s="84" t="str">
        <f t="shared" si="5"/>
        <v/>
      </c>
      <c r="AB64" s="93" t="str">
        <f t="shared" si="6"/>
        <v/>
      </c>
      <c r="AC64" s="88" t="str">
        <f t="shared" si="4"/>
        <v/>
      </c>
      <c r="AD64" s="54"/>
    </row>
    <row r="65" spans="1:30" x14ac:dyDescent="0.2">
      <c r="A65" s="96"/>
      <c r="B65" s="29" t="s">
        <v>114</v>
      </c>
      <c r="C65" s="41" t="str">
        <f t="shared" si="0"/>
        <v>Uruguai</v>
      </c>
      <c r="D65" s="41" t="str">
        <f t="shared" si="1"/>
        <v>Espanha</v>
      </c>
      <c r="E65" s="51" t="s">
        <v>59</v>
      </c>
      <c r="F65" s="106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81"/>
      <c r="AA65" s="84" t="str">
        <f t="shared" si="5"/>
        <v/>
      </c>
      <c r="AB65" s="93" t="str">
        <f t="shared" si="6"/>
        <v/>
      </c>
      <c r="AC65" s="88" t="str">
        <f t="shared" si="4"/>
        <v/>
      </c>
      <c r="AD65" s="54"/>
    </row>
    <row r="66" spans="1:30" x14ac:dyDescent="0.2">
      <c r="A66" s="96"/>
      <c r="B66" s="29" t="s">
        <v>115</v>
      </c>
      <c r="C66" s="41" t="str">
        <f t="shared" si="0"/>
        <v>Noruega</v>
      </c>
      <c r="D66" s="41" t="str">
        <f t="shared" si="1"/>
        <v>França</v>
      </c>
      <c r="E66" s="51" t="s">
        <v>59</v>
      </c>
      <c r="F66" s="106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81"/>
      <c r="AA66" s="84" t="str">
        <f t="shared" si="5"/>
        <v/>
      </c>
      <c r="AB66" s="93" t="str">
        <f t="shared" si="6"/>
        <v/>
      </c>
      <c r="AC66" s="88" t="str">
        <f t="shared" si="4"/>
        <v/>
      </c>
      <c r="AD66" s="54"/>
    </row>
    <row r="67" spans="1:30" x14ac:dyDescent="0.2">
      <c r="A67" s="97"/>
      <c r="B67" s="30" t="s">
        <v>116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59</v>
      </c>
      <c r="F67" s="107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82"/>
      <c r="AA67" s="84" t="str">
        <f t="shared" si="5"/>
        <v/>
      </c>
      <c r="AB67" s="93" t="str">
        <f t="shared" si="6"/>
        <v/>
      </c>
      <c r="AC67" s="88" t="str">
        <f t="shared" si="4"/>
        <v/>
      </c>
      <c r="AD67" s="54"/>
    </row>
    <row r="68" spans="1:30" x14ac:dyDescent="0.2">
      <c r="A68" s="98">
        <v>46200</v>
      </c>
      <c r="B68" s="24" t="s">
        <v>117</v>
      </c>
      <c r="C68" s="36" t="str">
        <f t="shared" si="7"/>
        <v>Argélia</v>
      </c>
      <c r="D68" s="36" t="str">
        <f t="shared" si="8"/>
        <v>Áustria</v>
      </c>
      <c r="E68" s="44" t="s">
        <v>59</v>
      </c>
      <c r="F68" s="103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9"/>
      <c r="AA68" s="84" t="str">
        <f t="shared" si="5"/>
        <v/>
      </c>
      <c r="AB68" s="93" t="str">
        <f t="shared" si="6"/>
        <v/>
      </c>
      <c r="AC68" s="88" t="str">
        <f t="shared" ref="AC68:AC73" si="9">IF(OR($AA68="",$AB68=""),"",IF($AA68&gt;$AB68,"A",IF($AA68&lt;$AB68,"B","E")))</f>
        <v/>
      </c>
      <c r="AD68" s="54"/>
    </row>
    <row r="69" spans="1:30" x14ac:dyDescent="0.2">
      <c r="A69" s="99"/>
      <c r="B69" s="25" t="s">
        <v>118</v>
      </c>
      <c r="C69" s="37" t="str">
        <f t="shared" si="7"/>
        <v>Jordânia</v>
      </c>
      <c r="D69" s="37" t="str">
        <f t="shared" si="8"/>
        <v>Argentina</v>
      </c>
      <c r="E69" s="47" t="s">
        <v>59</v>
      </c>
      <c r="F69" s="105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3"/>
      <c r="AA69" s="84" t="str">
        <f t="shared" si="5"/>
        <v/>
      </c>
      <c r="AB69" s="93" t="str">
        <f t="shared" si="6"/>
        <v/>
      </c>
      <c r="AC69" s="88" t="str">
        <f t="shared" si="9"/>
        <v/>
      </c>
      <c r="AD69" s="54"/>
    </row>
    <row r="70" spans="1:30" x14ac:dyDescent="0.2">
      <c r="A70" s="100"/>
      <c r="B70" s="26" t="s">
        <v>119</v>
      </c>
      <c r="C70" s="38" t="str">
        <f t="shared" si="7"/>
        <v>Colômbia</v>
      </c>
      <c r="D70" s="38" t="str">
        <f t="shared" si="8"/>
        <v>Portugal</v>
      </c>
      <c r="E70" s="48" t="s">
        <v>59</v>
      </c>
      <c r="F70" s="106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81"/>
      <c r="AA70" s="84" t="str">
        <f t="shared" si="5"/>
        <v/>
      </c>
      <c r="AB70" s="93" t="str">
        <f t="shared" si="6"/>
        <v/>
      </c>
      <c r="AC70" s="88" t="str">
        <f t="shared" si="9"/>
        <v/>
      </c>
      <c r="AD70" s="54"/>
    </row>
    <row r="71" spans="1:30" x14ac:dyDescent="0.2">
      <c r="A71" s="100"/>
      <c r="B71" s="26" t="s">
        <v>120</v>
      </c>
      <c r="C71" s="38" t="str">
        <f t="shared" si="7"/>
        <v>Rep. Dem. Congo</v>
      </c>
      <c r="D71" s="38" t="str">
        <f t="shared" si="8"/>
        <v>Uzbequistão</v>
      </c>
      <c r="E71" s="48" t="s">
        <v>59</v>
      </c>
      <c r="F71" s="106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81"/>
      <c r="AA71" s="84" t="str">
        <f t="shared" si="5"/>
        <v/>
      </c>
      <c r="AB71" s="93" t="str">
        <f t="shared" si="6"/>
        <v/>
      </c>
      <c r="AC71" s="88" t="str">
        <f t="shared" si="9"/>
        <v/>
      </c>
      <c r="AD71" s="54"/>
    </row>
    <row r="72" spans="1:30" x14ac:dyDescent="0.2">
      <c r="A72" s="100"/>
      <c r="B72" s="26" t="s">
        <v>121</v>
      </c>
      <c r="C72" s="38" t="str">
        <f t="shared" si="7"/>
        <v>Panamá</v>
      </c>
      <c r="D72" s="38" t="str">
        <f t="shared" si="8"/>
        <v>Inglaterra</v>
      </c>
      <c r="E72" s="48" t="s">
        <v>59</v>
      </c>
      <c r="F72" s="106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81"/>
      <c r="AA72" s="84" t="str">
        <f t="shared" si="5"/>
        <v/>
      </c>
      <c r="AB72" s="93" t="str">
        <f t="shared" si="6"/>
        <v/>
      </c>
      <c r="AC72" s="88" t="str">
        <f t="shared" si="9"/>
        <v/>
      </c>
      <c r="AD72" s="54"/>
    </row>
    <row r="73" spans="1:30" x14ac:dyDescent="0.2">
      <c r="A73" s="101"/>
      <c r="B73" s="31" t="s">
        <v>122</v>
      </c>
      <c r="C73" s="43" t="str">
        <f t="shared" si="7"/>
        <v>Croácia</v>
      </c>
      <c r="D73" s="43" t="str">
        <f t="shared" si="8"/>
        <v>Gana</v>
      </c>
      <c r="E73" s="53" t="s">
        <v>59</v>
      </c>
      <c r="F73" s="108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82"/>
      <c r="AA73" s="84" t="str">
        <f t="shared" si="5"/>
        <v/>
      </c>
      <c r="AB73" s="93" t="str">
        <f t="shared" si="6"/>
        <v/>
      </c>
      <c r="AC73" s="91" t="str">
        <f t="shared" si="9"/>
        <v/>
      </c>
      <c r="AD73" s="54"/>
    </row>
    <row r="74" spans="1:30" ht="15.75" customHeight="1" x14ac:dyDescent="0.2">
      <c r="F74" s="19" t="s">
        <v>123</v>
      </c>
      <c r="G74" s="77" cm="1">
        <f t="array" ref="G74">SUMPRODUCT(--(UPPER(G2:G73)=$AC$2:$AC$73),--($AC$2:$AC$73&lt;&gt;""))</f>
        <v>4</v>
      </c>
      <c r="H74" s="77" cm="1">
        <f t="array" ref="H74">SUMPRODUCT(--(UPPER(H2:H73)=$AC$2:$AC$73),--($AC$2:$AC$73&lt;&gt;""))</f>
        <v>4</v>
      </c>
      <c r="I74" s="77" cm="1">
        <f t="array" ref="I74">SUMPRODUCT(--(UPPER(I2:I73)=$AC$2:$AC$73),--($AC$2:$AC$73&lt;&gt;""))</f>
        <v>7</v>
      </c>
      <c r="J74" s="77" cm="1">
        <f t="array" ref="J74">SUMPRODUCT(--(UPPER(J2:J73)=$AC$2:$AC$73),--($AC$2:$AC$73&lt;&gt;""))</f>
        <v>7</v>
      </c>
      <c r="K74" s="77" cm="1">
        <f t="array" ref="K74">SUMPRODUCT(--(UPPER(K2:K73)=$AC$2:$AC$73),--($AC$2:$AC$73&lt;&gt;""))</f>
        <v>5</v>
      </c>
      <c r="L74" s="77" cm="1">
        <f t="array" ref="L74">SUMPRODUCT(--(UPPER(L2:L73)=$AC$2:$AC$73),--($AC$2:$AC$73&lt;&gt;""))</f>
        <v>5</v>
      </c>
      <c r="M74" s="77" cm="1">
        <f t="array" ref="M74">SUMPRODUCT(--(UPPER(M2:M73)=$AC$2:$AC$73),--($AC$2:$AC$73&lt;&gt;""))</f>
        <v>5</v>
      </c>
      <c r="N74" s="77" cm="1">
        <f t="array" ref="N74">SUMPRODUCT(--(UPPER(N2:N73)=$AC$2:$AC$73),--($AC$2:$AC$73&lt;&gt;""))</f>
        <v>7</v>
      </c>
      <c r="O74" s="77" cm="1">
        <f t="array" ref="O74">SUMPRODUCT(--(UPPER(O2:O73)=$AC$2:$AC$73),--($AC$2:$AC$73&lt;&gt;""))</f>
        <v>4</v>
      </c>
      <c r="P74" s="77" cm="1">
        <f t="array" ref="P74">SUMPRODUCT(--(UPPER(P2:P73)=$AC$2:$AC$73),--($AC$2:$AC$73&lt;&gt;""))</f>
        <v>6</v>
      </c>
      <c r="Q74" s="77" cm="1">
        <f t="array" ref="Q74">SUMPRODUCT(--(UPPER(Q2:Q73)=$AC$2:$AC$73),--($AC$2:$AC$73&lt;&gt;""))</f>
        <v>5</v>
      </c>
      <c r="R74" s="77" cm="1">
        <f t="array" ref="R74">SUMPRODUCT(--(UPPER(R2:R73)=$AC$2:$AC$73),--($AC$2:$AC$73&lt;&gt;""))</f>
        <v>4</v>
      </c>
      <c r="S74" s="77" cm="1">
        <f t="array" ref="S74">SUMPRODUCT(--(UPPER(S2:S73)=$AC$2:$AC$73),--($AC$2:$AC$73&lt;&gt;""))</f>
        <v>4</v>
      </c>
      <c r="T74" s="77" cm="1">
        <f t="array" ref="T74">SUMPRODUCT(--(UPPER(T2:T73)=$AC$2:$AC$73),--($AC$2:$AC$73&lt;&gt;""))</f>
        <v>5</v>
      </c>
      <c r="U74" s="77" cm="1">
        <f t="array" ref="U74">SUMPRODUCT(--(UPPER(U2:U73)=$AC$2:$AC$73),--($AC$2:$AC$73&lt;&gt;""))</f>
        <v>6</v>
      </c>
      <c r="V74" s="77" cm="1">
        <f t="array" ref="V74">SUMPRODUCT(--(UPPER(V2:V73)=$AC$2:$AC$73),--($AC$2:$AC$73&lt;&gt;""))</f>
        <v>4</v>
      </c>
      <c r="W74" s="77" cm="1">
        <f t="array" ref="W74">SUMPRODUCT(--(UPPER(W2:W73)=$AC$2:$AC$73),--($AC$2:$AC$73&lt;&gt;""))</f>
        <v>6</v>
      </c>
      <c r="X74" s="77" cm="1">
        <f t="array" ref="X74">SUMPRODUCT(--(UPPER(X2:X73)=$AC$2:$AC$73),--($AC$2:$AC$73&lt;&gt;""))</f>
        <v>3</v>
      </c>
      <c r="Y74" s="77" cm="1">
        <f t="array" ref="Y74">SUMPRODUCT(--(UPPER(Y2:Y73)=$AC$2:$AC$73),--($AC$2:$AC$73&lt;&gt;""))</f>
        <v>6</v>
      </c>
      <c r="Z74" s="77" cm="1">
        <f t="array" ref="Z74">SUMPRODUCT(--(UPPER(Z2:Z73)=$AC$2:$AC$73),--($AC$2:$AC$73&lt;&gt;""))</f>
        <v>5</v>
      </c>
    </row>
  </sheetData>
  <mergeCells count="18"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</mergeCells>
  <conditionalFormatting sqref="G2:Z20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dataValidations count="1">
    <dataValidation type="list" allowBlank="1" showInputMessage="1" showErrorMessage="1" sqref="G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Usuário Convidado</cp:lastModifiedBy>
  <cp:revision/>
  <dcterms:created xsi:type="dcterms:W3CDTF">2026-06-10T21:13:32Z</dcterms:created>
  <dcterms:modified xsi:type="dcterms:W3CDTF">2026-06-14T06:02:42Z</dcterms:modified>
  <cp:category/>
  <cp:contentStatus/>
</cp:coreProperties>
</file>