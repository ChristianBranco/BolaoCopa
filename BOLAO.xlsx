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35AA11D4-1EA4-48DB-87A7-9E4268088353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 s="1"/>
  <c r="AC13" i="7"/>
  <c r="AD12" i="7"/>
  <c r="AC12" i="7"/>
  <c r="AD11" i="7"/>
  <c r="AC11" i="7"/>
  <c r="AE11" i="7" s="1"/>
  <c r="AD10" i="7"/>
  <c r="AC10" i="7"/>
  <c r="AE10" i="7" s="1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2" i="7"/>
  <c r="AE1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<sst xmlns="http://schemas.openxmlformats.org/spreadsheetml/2006/main" count="1983" uniqueCount="165">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</sst>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4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5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6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5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6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2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5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53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7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4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8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5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9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5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7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8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9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2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5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53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7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4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8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5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9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5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7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8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8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9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9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2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5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53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7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4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8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5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9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6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5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7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7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8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8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9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9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2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5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53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7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4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8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5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9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6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5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7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7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8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8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9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9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2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5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53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7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4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8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5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9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6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5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7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7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8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8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9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9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2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5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53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7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4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8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5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9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6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5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7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7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8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8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8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8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8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8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9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9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2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5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53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7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4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8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4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8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4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8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5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9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6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5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7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7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8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8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8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8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8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8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9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9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60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5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61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7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62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8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62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8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62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8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63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70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topLeftCell="C1" workbookViewId="0">
      <pane ySplit="1" topLeftCell="A2" activePane="bottomLeft" state="frozen"/>
      <selection activeCell="S1" sqref="S1"/>
      <selection pane="bottomLeft" activeCell="K12" sqref="K12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 t="s">
        <v>44</v>
      </c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43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>
        <f t="shared" si="2"/>
        <v>2</v>
      </c>
      <c r="AD10" s="128">
        <f t="shared" si="3"/>
        <v>0</v>
      </c>
      <c r="AE10" s="127" t="str">
        <f t="shared" si="4"/>
        <v>A</v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63</v>
      </c>
      <c r="F11" s="146"/>
      <c r="G11" s="144" t="s">
        <v>44</v>
      </c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 t="s">
        <v>45</v>
      </c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2</v>
      </c>
      <c r="AD11" s="139">
        <f t="shared" si="3"/>
        <v>2</v>
      </c>
      <c r="AE11" s="140" t="str">
        <f t="shared" si="4"/>
        <v>E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48</v>
      </c>
      <c r="F12" s="146"/>
      <c r="G12" s="144"/>
      <c r="H12" s="143"/>
      <c r="I12" s="65" t="s">
        <v>44</v>
      </c>
      <c r="J12" s="111" t="s">
        <v>44</v>
      </c>
      <c r="K12" s="65" t="s">
        <v>46</v>
      </c>
      <c r="L12" s="65" t="s">
        <v>44</v>
      </c>
      <c r="M12" s="65" t="s">
        <v>46</v>
      </c>
      <c r="N12" s="65" t="s">
        <v>44</v>
      </c>
      <c r="O12" s="65" t="s">
        <v>44</v>
      </c>
      <c r="P12" s="65" t="s">
        <v>44</v>
      </c>
      <c r="Q12" s="65" t="s">
        <v>45</v>
      </c>
      <c r="R12" s="65" t="s">
        <v>44</v>
      </c>
      <c r="S12" s="65" t="s">
        <v>46</v>
      </c>
      <c r="T12" s="65" t="s">
        <v>46</v>
      </c>
      <c r="U12" s="65" t="s">
        <v>44</v>
      </c>
      <c r="V12" s="65" t="s">
        <v>45</v>
      </c>
      <c r="W12" s="65" t="s">
        <v>44</v>
      </c>
      <c r="X12" s="65" t="s">
        <v>44</v>
      </c>
      <c r="Y12" s="65" t="s">
        <v>45</v>
      </c>
      <c r="Z12" s="65" t="s">
        <v>44</v>
      </c>
      <c r="AA12" s="65" t="s">
        <v>46</v>
      </c>
      <c r="AB12" s="65" t="s">
        <v>45</v>
      </c>
      <c r="AC12" s="129">
        <f t="shared" si="2"/>
        <v>2</v>
      </c>
      <c r="AD12" s="130">
        <f t="shared" si="3"/>
        <v>1</v>
      </c>
      <c r="AE12" s="131" t="str">
        <f t="shared" si="4"/>
        <v>A</v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130</v>
      </c>
      <c r="F13" s="146"/>
      <c r="G13" s="144"/>
      <c r="H13" s="143"/>
      <c r="I13" s="60" t="s">
        <v>44</v>
      </c>
      <c r="J13" s="60" t="s">
        <v>44</v>
      </c>
      <c r="K13" s="60" t="s">
        <v>44</v>
      </c>
      <c r="L13" s="60" t="s">
        <v>44</v>
      </c>
      <c r="M13" s="60" t="s">
        <v>44</v>
      </c>
      <c r="N13" s="60" t="s">
        <v>44</v>
      </c>
      <c r="O13" s="60" t="s">
        <v>44</v>
      </c>
      <c r="P13" s="60" t="s">
        <v>44</v>
      </c>
      <c r="Q13" s="60" t="s">
        <v>44</v>
      </c>
      <c r="R13" s="60" t="s">
        <v>44</v>
      </c>
      <c r="S13" s="60" t="s">
        <v>44</v>
      </c>
      <c r="T13" s="60" t="s">
        <v>44</v>
      </c>
      <c r="U13" s="60" t="s">
        <v>44</v>
      </c>
      <c r="V13" s="60" t="s">
        <v>44</v>
      </c>
      <c r="W13" s="60" t="s">
        <v>44</v>
      </c>
      <c r="X13" s="60" t="s">
        <v>44</v>
      </c>
      <c r="Y13" s="60" t="s">
        <v>44</v>
      </c>
      <c r="Z13" s="60" t="s">
        <v>44</v>
      </c>
      <c r="AA13" s="60" t="s">
        <v>44</v>
      </c>
      <c r="AB13" s="60" t="s">
        <v>44</v>
      </c>
      <c r="AC13" s="126">
        <f t="shared" si="2"/>
        <v>3</v>
      </c>
      <c r="AD13" s="128">
        <f t="shared" si="3"/>
        <v>0</v>
      </c>
      <c r="AE13" s="127" t="str">
        <f t="shared" si="4"/>
        <v>A</v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 t="s">
        <v>44</v>
      </c>
      <c r="J14" s="115" t="s">
        <v>44</v>
      </c>
      <c r="K14" s="96" t="s">
        <v>44</v>
      </c>
      <c r="L14" s="96" t="s">
        <v>46</v>
      </c>
      <c r="M14" s="96" t="s">
        <v>44</v>
      </c>
      <c r="N14" s="96" t="s">
        <v>46</v>
      </c>
      <c r="O14" s="96" t="s">
        <v>44</v>
      </c>
      <c r="P14" s="96" t="s">
        <v>44</v>
      </c>
      <c r="Q14" s="96" t="s">
        <v>44</v>
      </c>
      <c r="R14" s="96" t="s">
        <v>46</v>
      </c>
      <c r="S14" s="96" t="s">
        <v>46</v>
      </c>
      <c r="T14" s="96" t="s">
        <v>46</v>
      </c>
      <c r="U14" s="96" t="s">
        <v>44</v>
      </c>
      <c r="V14" s="96" t="s">
        <v>44</v>
      </c>
      <c r="W14" s="96" t="s">
        <v>44</v>
      </c>
      <c r="X14" s="96" t="s">
        <v>44</v>
      </c>
      <c r="Y14" s="96" t="s">
        <v>46</v>
      </c>
      <c r="Z14" s="96" t="s">
        <v>44</v>
      </c>
      <c r="AA14" s="96" t="s">
        <v>44</v>
      </c>
      <c r="AB14" s="96" t="s">
        <v>45</v>
      </c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51</v>
      </c>
      <c r="J18" s="92" cm="1">
        <f t="array" ref="J18">SUMPRODUCT(--(UPPER(J2:J17)=$AE$2:$AE$17),--($AE$2:$AE$17&lt;&gt;""))+ORGANIZAÇÃO!H74</f>
        <v>49</v>
      </c>
      <c r="K18" s="92" cm="1">
        <f t="array" ref="K18">SUMPRODUCT(--(UPPER(K2:K17)=$AE$2:$AE$17),--($AE$2:$AE$17&lt;&gt;""))+ORGANIZAÇÃO!I74</f>
        <v>50</v>
      </c>
      <c r="L18" s="92" cm="1">
        <f t="array" ref="L18">SUMPRODUCT(--(UPPER(L2:L17)=$AE$2:$AE$17),--($AE$2:$AE$17&lt;&gt;""))+ORGANIZAÇÃO!J74</f>
        <v>52</v>
      </c>
      <c r="M18" s="92" cm="1">
        <f t="array" ref="M18">SUMPRODUCT(--(UPPER(M2:M17)=$AE$2:$AE$17),--($AE$2:$AE$17&lt;&gt;""))+ORGANIZAÇÃO!K74</f>
        <v>47</v>
      </c>
      <c r="N18" s="92" cm="1">
        <f t="array" ref="N18">SUMPRODUCT(--(UPPER(N2:N17)=$AE$2:$AE$17),--($AE$2:$AE$17&lt;&gt;""))+ORGANIZAÇÃO!L74</f>
        <v>49</v>
      </c>
      <c r="O18" s="92" cm="1">
        <f t="array" ref="O18">SUMPRODUCT(--(UPPER(O2:O17)=$AE$2:$AE$17),--($AE$2:$AE$17&lt;&gt;""))+ORGANIZAÇÃO!M74</f>
        <v>53</v>
      </c>
      <c r="P18" s="92" cm="1">
        <f t="array" ref="P18">SUMPRODUCT(--(UPPER(P2:P17)=$AE$2:$AE$17),--($AE$2:$AE$17&lt;&gt;""))+ORGANIZAÇÃO!N74</f>
        <v>56</v>
      </c>
      <c r="Q18" s="92" cm="1">
        <f t="array" ref="Q18">SUMPRODUCT(--(UPPER(Q2:Q17)=$AE$2:$AE$17),--($AE$2:$AE$17&lt;&gt;""))+ORGANIZAÇÃO!O74</f>
        <v>46</v>
      </c>
      <c r="R18" s="92" cm="1">
        <f t="array" ref="R18">SUMPRODUCT(--(UPPER(R2:R17)=$AE$2:$AE$17),--($AE$2:$AE$17&lt;&gt;""))+ORGANIZAÇÃO!P74</f>
        <v>50</v>
      </c>
      <c r="S18" s="92" cm="1">
        <f t="array" ref="S18">SUMPRODUCT(--(UPPER(S2:S17)=$AE$2:$AE$17),--($AE$2:$AE$17&lt;&gt;""))+ORGANIZAÇÃO!Q74</f>
        <v>46</v>
      </c>
      <c r="T18" s="92" cm="1">
        <f t="array" ref="T18">SUMPRODUCT(--(UPPER(T2:T17)=$AE$2:$AE$17),--($AE$2:$AE$17&lt;&gt;""))+ORGANIZAÇÃO!R74</f>
        <v>42</v>
      </c>
      <c r="U18" s="92" cm="1">
        <f t="array" ref="U18">SUMPRODUCT(--(UPPER(U2:U17)=$AE$2:$AE$17),--($AE$2:$AE$17&lt;&gt;""))+ORGANIZAÇÃO!S74</f>
        <v>43</v>
      </c>
      <c r="V18" s="92" cm="1">
        <f t="array" ref="V18">SUMPRODUCT(--(UPPER(V2:V17)=$AE$2:$AE$17),--($AE$2:$AE$17&lt;&gt;""))+ORGANIZAÇÃO!T74</f>
        <v>45</v>
      </c>
      <c r="W18" s="92" cm="1">
        <f t="array" ref="W18">SUMPRODUCT(--(UPPER(W2:W17)=$AE$2:$AE$17),--($AE$2:$AE$17&lt;&gt;""))+ORGANIZAÇÃO!U74</f>
        <v>49</v>
      </c>
      <c r="X18" s="92" cm="1">
        <f t="array" ref="X18">SUMPRODUCT(--(UPPER(X2:X17)=$AE$2:$AE$17),--($AE$2:$AE$17&lt;&gt;""))+ORGANIZAÇÃO!V74</f>
        <v>46</v>
      </c>
      <c r="Y18" s="92" cm="1">
        <f t="array" ref="Y18">SUMPRODUCT(--(UPPER(Y2:Y17)=$AE$2:$AE$17),--($AE$2:$AE$17&lt;&gt;""))+ORGANIZAÇÃO!W74</f>
        <v>46</v>
      </c>
      <c r="Z18" s="92" cm="1">
        <f t="array" ref="Z18">SUMPRODUCT(--(UPPER(Z2:Z17)=$AE$2:$AE$17),--($AE$2:$AE$17&lt;&gt;""))+ORGANIZAÇÃO!X74</f>
        <v>45</v>
      </c>
      <c r="AA18" s="92" cm="1">
        <f t="array" ref="AA18">SUMPRODUCT(--(UPPER(AA2:AA17)=$AE$2:$AE$17),--($AE$2:$AE$17&lt;&gt;""))+ORGANIZAÇÃO!Y74</f>
        <v>47</v>
      </c>
      <c r="AB18" s="92" cm="1">
        <f t="array" ref="AB18">SUMPRODUCT(--(UPPER(AB2:AB17)=$AE$2:$AE$17),--($AE$2:$AE$17&lt;&gt;""))+ORGANIZAÇÃO!Z74</f>
        <v>40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2026-07-03T01:14:14Z</dcterms:modified>
  <cp:category/>
  <cp:contentStatus/>
</cp:coreProperties>
</file>