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1857C4E0-3336-45C2-8F81-856C843E1A71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D17" i="7" l="1"/>
  <c r="AC17" i="7"/>
  <c r="AE17" i="7"/>
  <c r="AD16" i="7"/>
  <c r="AC16" i="7"/>
  <c r="AD15" i="7"/>
  <c r="AC15" i="7"/>
  <c r="AE15" i="7"/>
  <c r="AD14" i="7"/>
  <c r="AC14" i="7"/>
  <c r="AD13" i="7"/>
  <c r="AE13" i="7"/>
  <c r="AC13" i="7"/>
  <c r="AD12" i="7"/>
  <c r="AC12" i="7"/>
  <c r="AD11" i="7"/>
  <c r="AC11" i="7"/>
  <c r="AE11" i="7" s="1"/>
  <c r="AD10" i="7"/>
  <c r="AC10" i="7"/>
  <c r="AD9" i="7"/>
  <c r="AC9" i="7"/>
  <c r="AE9" i="7" s="1"/>
  <c r="AD8" i="7"/>
  <c r="AC8" i="7"/>
  <c r="AE8" i="7" s="1"/>
  <c r="AD7" i="7"/>
  <c r="AC7" i="7"/>
  <c r="AE7" i="7" s="1"/>
  <c r="AD6" i="7"/>
  <c r="AC6" i="7"/>
  <c r="AE6" i="7" s="1"/>
  <c r="AD5" i="7"/>
  <c r="AC5" i="7"/>
  <c r="AD4" i="7"/>
  <c r="AC4" i="7"/>
  <c r="AD3" i="7"/>
  <c r="AC3" i="7"/>
  <c r="AE3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D2" i="7"/>
  <c r="AC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/>
  <c r="AA5" i="6"/>
  <c r="AA6" i="6"/>
  <c r="AC6" i="6"/>
  <c r="AA7" i="6"/>
  <c r="AC7" i="6"/>
  <c r="AA8" i="6"/>
  <c r="AC8" i="6"/>
  <c r="AA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A22" i="6"/>
  <c r="AC22" i="6"/>
  <c r="AA23" i="6"/>
  <c r="AC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A55" i="6"/>
  <c r="AC55" i="6"/>
  <c r="AA56" i="6"/>
  <c r="AC56" i="6"/>
  <c r="AA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A67" i="6"/>
  <c r="AC67" i="6"/>
  <c r="AA68" i="6"/>
  <c r="AC68" i="6"/>
  <c r="AA69" i="6"/>
  <c r="AA70" i="6"/>
  <c r="AC70" i="6"/>
  <c r="AA71" i="6"/>
  <c r="AC71" i="6"/>
  <c r="AA72" i="6"/>
  <c r="AC72" i="6"/>
  <c r="AA73" i="6"/>
  <c r="AC73" i="6"/>
  <c r="AA3" i="6"/>
  <c r="AB3" i="6"/>
  <c r="AA2" i="6"/>
  <c r="AC2" i="6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a="1"/>
  <c r="C17" i="3"/>
  <c r="D17" i="3"/>
  <c r="E17" i="3"/>
  <c r="A16" i="3"/>
  <c r="C16" i="3" a="1"/>
  <c r="C16" i="3"/>
  <c r="D16" i="3"/>
  <c r="E16" i="3"/>
  <c r="A15" i="3"/>
  <c r="C15" i="3" a="1"/>
  <c r="C15" i="3"/>
  <c r="D15" i="3"/>
  <c r="E15" i="3"/>
  <c r="A14" i="3"/>
  <c r="C14" i="3" a="1"/>
  <c r="C14" i="3"/>
  <c r="D14" i="3"/>
  <c r="E14" i="3"/>
  <c r="A13" i="3"/>
  <c r="C13" i="3" a="1"/>
  <c r="C13" i="3"/>
  <c r="D13" i="3"/>
  <c r="E13" i="3"/>
  <c r="A12" i="3"/>
  <c r="C12" i="3" a="1"/>
  <c r="C12" i="3"/>
  <c r="D12" i="3"/>
  <c r="E12" i="3"/>
  <c r="A11" i="3"/>
  <c r="C11" i="3" a="1"/>
  <c r="C11" i="3"/>
  <c r="D11" i="3"/>
  <c r="E11" i="3"/>
  <c r="A10" i="3"/>
  <c r="C10" i="3" a="1"/>
  <c r="C10" i="3"/>
  <c r="D10" i="3"/>
  <c r="E10" i="3"/>
  <c r="A9" i="3"/>
  <c r="C9" i="3" a="1"/>
  <c r="C9" i="3"/>
  <c r="D9" i="3"/>
  <c r="E9" i="3"/>
  <c r="A8" i="3"/>
  <c r="C8" i="3" a="1"/>
  <c r="C8" i="3"/>
  <c r="D8" i="3"/>
  <c r="E8" i="3"/>
  <c r="A7" i="3"/>
  <c r="C7" i="3" a="1"/>
  <c r="C7" i="3"/>
  <c r="D7" i="3"/>
  <c r="E7" i="3"/>
  <c r="A6" i="3"/>
  <c r="C6" i="3" a="1"/>
  <c r="C6" i="3"/>
  <c r="D6" i="3"/>
  <c r="E6" i="3"/>
  <c r="A5" i="3"/>
  <c r="C5" i="3" a="1"/>
  <c r="C5" i="3"/>
  <c r="D5" i="3"/>
  <c r="E5" i="3"/>
  <c r="A4" i="3"/>
  <c r="C4" i="3" a="1"/>
  <c r="C4" i="3"/>
  <c r="D4" i="3"/>
  <c r="E4" i="3"/>
  <c r="AC5" i="6"/>
  <c r="AC24" i="6"/>
  <c r="AC25" i="6"/>
  <c r="AC26" i="6"/>
  <c r="AC34" i="6"/>
  <c r="AC3" i="6"/>
  <c r="AC33" i="6"/>
  <c r="AC21" i="6"/>
  <c r="AC9" i="6"/>
  <c r="AC66" i="6"/>
  <c r="AC54" i="6"/>
  <c r="AC42" i="6"/>
  <c r="AC69" i="6"/>
  <c r="M74" i="6" a="1"/>
  <c r="M74" i="6"/>
  <c r="AE16" i="7"/>
  <c r="Y74" i="6" a="1"/>
  <c r="Y74" i="6"/>
  <c r="H74" i="6" a="1"/>
  <c r="H74" i="6"/>
  <c r="I74" i="6" a="1"/>
  <c r="I74" i="6"/>
  <c r="Z74" i="6" a="1"/>
  <c r="Z74" i="6"/>
  <c r="R74" i="6" a="1"/>
  <c r="R74" i="6"/>
  <c r="P74" i="6" a="1"/>
  <c r="P74" i="6"/>
  <c r="J74" i="6" a="1"/>
  <c r="J74" i="6"/>
  <c r="U74" i="6" a="1"/>
  <c r="U74" i="6"/>
  <c r="V74" i="6" a="1"/>
  <c r="V74" i="6"/>
  <c r="S74" i="6" a="1"/>
  <c r="S74" i="6"/>
  <c r="Q74" i="6" a="1"/>
  <c r="Q74" i="6"/>
  <c r="T74" i="6" a="1"/>
  <c r="T74" i="6"/>
  <c r="K74" i="6" a="1"/>
  <c r="K74" i="6"/>
  <c r="O74" i="6" a="1"/>
  <c r="O74" i="6"/>
  <c r="W74" i="6" a="1"/>
  <c r="W74" i="6"/>
  <c r="L74" i="6" a="1"/>
  <c r="L74" i="6"/>
  <c r="G74" i="6" a="1"/>
  <c r="G74" i="6"/>
  <c r="N74" i="6" a="1"/>
  <c r="N74" i="6"/>
  <c r="X74" i="6" a="1"/>
  <c r="X74" i="6"/>
  <c r="AE14" i="7"/>
  <c r="AE4" i="7"/>
  <c r="AE10" i="7"/>
  <c r="AE2" i="7"/>
  <c r="AE12" i="7"/>
  <c r="AE5" i="7"/>
  <c r="AB18" i="7" l="1" a="1"/>
  <c r="AB18" i="7" s="1"/>
  <c r="Q18" i="7" a="1"/>
  <c r="Q18" i="7" s="1"/>
  <c r="L18" i="7" a="1"/>
  <c r="L18" i="7" s="1"/>
  <c r="R18" i="7" a="1"/>
  <c r="R18" i="7" s="1"/>
  <c r="V18" i="7" a="1"/>
  <c r="V18" i="7" s="1"/>
  <c r="N18" i="7" a="1"/>
  <c r="N18" i="7" s="1"/>
  <c r="Z18" i="7" a="1"/>
  <c r="Z18" i="7" s="1"/>
  <c r="Y18" i="7" a="1"/>
  <c r="Y18" i="7" s="1"/>
  <c r="X18" i="7" a="1"/>
  <c r="X18" i="7" s="1"/>
  <c r="AA18" i="7" a="1"/>
  <c r="AA18" i="7" s="1"/>
  <c r="M18" i="7" a="1"/>
  <c r="M18" i="7" s="1"/>
  <c r="W18" i="7" a="1"/>
  <c r="W18" i="7" s="1"/>
  <c r="I18" i="7" a="1"/>
  <c r="I18" i="7" s="1"/>
  <c r="O18" i="7" a="1"/>
  <c r="O18" i="7" s="1"/>
  <c r="T18" i="7" a="1"/>
  <c r="T18" i="7" s="1"/>
  <c r="K18" i="7" a="1"/>
  <c r="K18" i="7" s="1"/>
  <c r="P18" i="7" a="1"/>
  <c r="P18" i="7" s="1"/>
  <c r="S18" i="7" a="1"/>
  <c r="S18" i="7" s="1"/>
  <c r="U18" i="7" a="1"/>
  <c r="U18" i="7" s="1"/>
  <c r="J18" i="7" a="1"/>
  <c r="J18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<sst xmlns="http://schemas.openxmlformats.org/spreadsheetml/2006/main" count="1920" uniqueCount="165">
  <si>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</si>
  <si>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</si>
  <si>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</si>
  <si>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</si>
  <si>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</si>
  <si>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</si>
  <si>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</si>
  <si>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</si>
  <si>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</si>
  <si>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</si>
  <si>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</si>
  <si>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</si>
  <si>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</si>
  <si>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</si>
  <si>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</si>
  <si>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</si>
  <si>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</si>
  <si>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</si>
  <si>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</si>
  <si>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</si>
  <si>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</si>
  <si>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</si>
  <si>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</si>
  <si>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</si>
  <si>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</si>
  <si>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</si>
  <si>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</si>
  <si>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</si>
  <si>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</si>
  <si>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</si>
  <si>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</si>
  <si>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</si>
  <si>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</si>
  <si>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</si>
  <si>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</si>
  <si>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</si>
  <si>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</si>
  <si>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</si>
  <si>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</si>
  <si>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</si>
  <si>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</si>
  <si>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</si>
  <si>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</si>
  <si>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</si>
  <si>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</si>
  <si>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</si>
  <si>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</si>
  <si>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</si>
  <si>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</si>
  <si>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</si>
  <si>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</si>
  <si>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</si>
  <si>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</si>
  <si>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</si>
  <si>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</si>
  <si>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</si>
  <si>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</si>
  <si>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</si>
  <si>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</si>
  <si>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</si>
  <si>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</si>
  <si>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</si>
  <si>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</si>
  <si>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</si>
  <si>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</si>
  <si>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</si>
  <si>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</si>
  <si>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</si>
  <si>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</si>
  <si>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</si>
  <si>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</si>
  <si>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</si>
  <si>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</si>
  <si>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</si>
  <si>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</si>
  <si>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</si>
  <si>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</si>
  <si>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</si>
  <si>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</si>
  <si>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</si>
  <si>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</si>
  <si>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</si>
  <si>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</si>
  <si>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</si>
  <si>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</si>
  <si>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</si>
  <si>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</si>
  <si>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</si>
  <si>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</si>
  <si>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</si>
  <si>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</si>
  <si>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</si>
  <si>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</si>
  <si>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</si>
  <si>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</si>
  <si>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</si>
  <si>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</si>
  <si>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</si>
  <si>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</si>
  <si>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</si>
  <si>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</si>
  <si>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</si>
  <si>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</si>
  <si>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</si>
  <si>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</si>
  <si>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</si>
  <si>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</si>
  <si>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</si>
  <si>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</si>
  <si>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</si>
  <si>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</si>
  <si>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</si>
  <si>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</si>
  <si>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</si>
  <si>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</si>
  <si>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</si>
  <si>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</si>
  <si>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</si>
  <si>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</si>
  <si>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</si>
  <si>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</si>
  <si>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</si>
  <si>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</si>
  <si>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</si>
  <si>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</si>
  <si>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</si>
  <si>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</si>
  <si>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</si>
  <si>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</si>
  <si>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</si>
  <si>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</si>
  <si>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</si>
  <si>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</si>
  <si>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</si>
  <si>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</si>
  <si>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</si>
  <si>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</si>
  <si>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</si>
  <si>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</si>
  <si>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</si>
  <si>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</si>
  <si>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</si>
  <si>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</si>
  <si>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</si>
  <si>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</si>
  <si>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</si>
  <si>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</si>
  <si>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</si>
  <si>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</si>
  <si>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</si>
  <si>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</si>
  <si>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</si>
  <si>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</si>
  <si>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</si>
  <si>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</si>
  <si>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</si>
  <si>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</si>
  <si>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</si>
  <si>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</si>
  <si>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</si>
  <si>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</si>
  <si>
    <t>3x3</t>
  </si>
  <si>
    <t>Penalti</t>
  </si>
  <si>
    <t>Prorrogação</t>
  </si>
  <si>
    <t>3X0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</si>
</sst>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DF00"/>
      <name val="Aptos Narrow"/>
      <scheme val="minor"/>
    </font>
    <font>
      <sz val="11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0" fontId="17" fillId="3" borderId="0" xfId="0" applyFont="1" applyFill="1" applyAlignment="1">
      <alignment horizontal="center" vertical="center"/>
    </xf>
    <xf numFmtId="0" fontId="9" fillId="7" borderId="67" xfId="0" applyFont="1" applyFill="1" applyBorder="1" applyAlignment="1">
      <alignment horizontal="center" vertical="center" textRotation="255"/>
    </xf>
    <xf numFmtId="0" fontId="9" fillId="7" borderId="0" xfId="0" applyFont="1" applyFill="1" applyAlignment="1">
      <alignment horizontal="center" vertical="center" textRotation="255"/>
    </xf>
    <xf numFmtId="0" fontId="18" fillId="5" borderId="68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5" borderId="68" xfId="0" applyFont="1" applyFill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9" t="s">
        <v>0</v>
      </c>
      <c r="B1" s="149"/>
      <c r="C1" s="13"/>
      <c r="D1" s="13"/>
      <c r="E1" s="13"/>
      <c r="F1" s="13"/>
      <c r="G1" s="13"/>
      <c r="H1" s="13"/>
    </row>
    <row r="2" spans="1:8" ht="15" customHeight="1" x14ac:dyDescent="0.25">
      <c r="A2" s="149"/>
      <c r="B2" s="149"/>
      <c r="C2" s="13"/>
      <c r="D2" s="13"/>
      <c r="E2" s="13"/>
      <c r="F2" s="13"/>
      <c r="G2" s="13"/>
      <c r="H2" s="13"/>
    </row>
    <row r="3" spans="1:8" ht="15" customHeight="1" x14ac:dyDescent="0.25">
      <c r="A3" s="149"/>
      <c r="B3" s="149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0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64"/>
      <c r="G1" s="90" t="s">
        <v>3</v>
      </c>
      <c r="H1" s="91" t="s">
        <v>5</v>
      </c>
      <c r="I1" s="91" t="s">
        <v>6</v>
      </c>
      <c r="J1" s="91" t="s">
        <v>35</v>
      </c>
      <c r="K1" s="91" t="s">
        <v>7</v>
      </c>
      <c r="L1" s="91" t="s">
        <v>36</v>
      </c>
      <c r="M1" s="91" t="s">
        <v>8</v>
      </c>
      <c r="N1" s="91" t="s">
        <v>9</v>
      </c>
      <c r="O1" s="91" t="s">
        <v>18</v>
      </c>
      <c r="P1" s="91" t="s">
        <v>10</v>
      </c>
      <c r="Q1" s="91" t="s">
        <v>37</v>
      </c>
      <c r="R1" s="91" t="s">
        <v>11</v>
      </c>
      <c r="S1" s="91" t="s">
        <v>12</v>
      </c>
      <c r="T1" s="91" t="s">
        <v>13</v>
      </c>
      <c r="U1" s="91" t="s">
        <v>38</v>
      </c>
      <c r="V1" s="91" t="s">
        <v>14</v>
      </c>
      <c r="W1" s="91" t="s">
        <v>15</v>
      </c>
      <c r="X1" s="91" t="s">
        <v>16</v>
      </c>
      <c r="Y1" s="91" t="s">
        <v>17</v>
      </c>
      <c r="Z1" s="91" t="s">
        <v>19</v>
      </c>
      <c r="AA1" s="67" t="s">
        <v>39</v>
      </c>
      <c r="AB1" s="67" t="s">
        <v>40</v>
      </c>
      <c r="AC1" s="69" t="s">
        <v>41</v>
      </c>
    </row>
    <row r="2" spans="1:30" x14ac:dyDescent="0.25">
      <c r="A2" s="171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65"/>
      <c r="G2" s="98" t="s">
        <v>44</v>
      </c>
      <c r="H2" s="99" t="s">
        <v>45</v>
      </c>
      <c r="I2" s="99" t="s">
        <v>44</v>
      </c>
      <c r="J2" s="99" t="s">
        <v>44</v>
      </c>
      <c r="K2" s="99" t="s">
        <v>44</v>
      </c>
      <c r="L2" s="99" t="s">
        <v>44</v>
      </c>
      <c r="M2" s="99" t="s">
        <v>44</v>
      </c>
      <c r="N2" s="99" t="s">
        <v>44</v>
      </c>
      <c r="O2" s="99" t="s">
        <v>44</v>
      </c>
      <c r="P2" s="99" t="s">
        <v>44</v>
      </c>
      <c r="Q2" s="99" t="s">
        <v>44</v>
      </c>
      <c r="R2" s="99" t="s">
        <v>46</v>
      </c>
      <c r="S2" s="99" t="s">
        <v>44</v>
      </c>
      <c r="T2" s="99" t="s">
        <v>44</v>
      </c>
      <c r="U2" s="100" t="s">
        <v>44</v>
      </c>
      <c r="V2" s="100" t="s">
        <v>44</v>
      </c>
      <c r="W2" s="100" t="s">
        <v>46</v>
      </c>
      <c r="X2" s="100" t="s">
        <v>45</v>
      </c>
      <c r="Y2" s="100" t="s">
        <v>44</v>
      </c>
      <c r="Z2" s="99" t="s">
        <v>44</v>
      </c>
      <c r="AA2" s="89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3">
      <c r="A3" s="172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66"/>
      <c r="G3" s="95" t="s">
        <v>46</v>
      </c>
      <c r="H3" s="96" t="s">
        <v>44</v>
      </c>
      <c r="I3" s="96" t="s">
        <v>44</v>
      </c>
      <c r="J3" s="96" t="s">
        <v>44</v>
      </c>
      <c r="K3" s="96" t="s">
        <v>44</v>
      </c>
      <c r="L3" s="96" t="s">
        <v>44</v>
      </c>
      <c r="M3" s="96" t="s">
        <v>44</v>
      </c>
      <c r="N3" s="96" t="s">
        <v>44</v>
      </c>
      <c r="O3" s="96" t="s">
        <v>45</v>
      </c>
      <c r="P3" s="96" t="s">
        <v>45</v>
      </c>
      <c r="Q3" s="96" t="s">
        <v>45</v>
      </c>
      <c r="R3" s="96" t="s">
        <v>44</v>
      </c>
      <c r="S3" s="96" t="s">
        <v>46</v>
      </c>
      <c r="T3" s="96" t="s">
        <v>45</v>
      </c>
      <c r="U3" s="97" t="s">
        <v>46</v>
      </c>
      <c r="V3" s="97" t="s">
        <v>44</v>
      </c>
      <c r="W3" s="97" t="s">
        <v>44</v>
      </c>
      <c r="X3" s="97" t="s">
        <v>44</v>
      </c>
      <c r="Y3" s="97" t="s">
        <v>44</v>
      </c>
      <c r="Z3" s="96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3">
      <c r="A4" s="173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65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3">
      <c r="A5" s="174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66"/>
      <c r="G5" s="95" t="s">
        <v>45</v>
      </c>
      <c r="H5" s="96" t="s">
        <v>45</v>
      </c>
      <c r="I5" s="96" t="s">
        <v>45</v>
      </c>
      <c r="J5" s="96" t="s">
        <v>44</v>
      </c>
      <c r="K5" s="96" t="s">
        <v>46</v>
      </c>
      <c r="L5" s="96" t="s">
        <v>44</v>
      </c>
      <c r="M5" s="96" t="s">
        <v>45</v>
      </c>
      <c r="N5" s="96" t="s">
        <v>44</v>
      </c>
      <c r="O5" s="96" t="s">
        <v>45</v>
      </c>
      <c r="P5" s="96" t="s">
        <v>44</v>
      </c>
      <c r="Q5" s="96" t="s">
        <v>46</v>
      </c>
      <c r="R5" s="96" t="s">
        <v>45</v>
      </c>
      <c r="S5" s="96" t="s">
        <v>45</v>
      </c>
      <c r="T5" s="96" t="s">
        <v>46</v>
      </c>
      <c r="U5" s="97" t="s">
        <v>44</v>
      </c>
      <c r="V5" s="97" t="s">
        <v>45</v>
      </c>
      <c r="W5" s="97" t="s">
        <v>44</v>
      </c>
      <c r="X5" s="97" t="s">
        <v>45</v>
      </c>
      <c r="Y5" s="97" t="s">
        <v>45</v>
      </c>
      <c r="Z5" s="96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3">
      <c r="A6" s="156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65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3">
      <c r="A7" s="157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67"/>
      <c r="G7" s="80" t="s">
        <v>44</v>
      </c>
      <c r="H7" s="93" t="s">
        <v>44</v>
      </c>
      <c r="I7" s="93" t="s">
        <v>44</v>
      </c>
      <c r="J7" s="93" t="s">
        <v>45</v>
      </c>
      <c r="K7" s="93" t="s">
        <v>44</v>
      </c>
      <c r="L7" s="93" t="s">
        <v>44</v>
      </c>
      <c r="M7" s="93" t="s">
        <v>44</v>
      </c>
      <c r="N7" s="93" t="s">
        <v>46</v>
      </c>
      <c r="O7" s="93" t="s">
        <v>46</v>
      </c>
      <c r="P7" s="93" t="s">
        <v>44</v>
      </c>
      <c r="Q7" s="93" t="s">
        <v>44</v>
      </c>
      <c r="R7" s="93" t="s">
        <v>44</v>
      </c>
      <c r="S7" s="93" t="s">
        <v>44</v>
      </c>
      <c r="T7" s="93" t="s">
        <v>44</v>
      </c>
      <c r="U7" s="93" t="s">
        <v>44</v>
      </c>
      <c r="V7" s="93" t="s">
        <v>44</v>
      </c>
      <c r="W7" s="93" t="s">
        <v>44</v>
      </c>
      <c r="X7" s="93" t="s">
        <v>44</v>
      </c>
      <c r="Y7" s="93" t="s">
        <v>44</v>
      </c>
      <c r="Z7" s="93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3">
      <c r="A8" s="158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68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3">
      <c r="A9" s="159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69"/>
      <c r="G9" s="95" t="s">
        <v>44</v>
      </c>
      <c r="H9" s="96" t="s">
        <v>45</v>
      </c>
      <c r="I9" s="96" t="s">
        <v>45</v>
      </c>
      <c r="J9" s="96" t="s">
        <v>45</v>
      </c>
      <c r="K9" s="96" t="s">
        <v>45</v>
      </c>
      <c r="L9" s="96" t="s">
        <v>45</v>
      </c>
      <c r="M9" s="96" t="s">
        <v>45</v>
      </c>
      <c r="N9" s="96" t="s">
        <v>45</v>
      </c>
      <c r="O9" s="96" t="s">
        <v>45</v>
      </c>
      <c r="P9" s="96" t="s">
        <v>45</v>
      </c>
      <c r="Q9" s="96" t="s">
        <v>44</v>
      </c>
      <c r="R9" s="96" t="s">
        <v>44</v>
      </c>
      <c r="S9" s="96" t="s">
        <v>45</v>
      </c>
      <c r="T9" s="96" t="s">
        <v>45</v>
      </c>
      <c r="U9" s="97" t="s">
        <v>45</v>
      </c>
      <c r="V9" s="97" t="s">
        <v>45</v>
      </c>
      <c r="W9" s="97" t="s">
        <v>45</v>
      </c>
      <c r="X9" s="97" t="s">
        <v>44</v>
      </c>
      <c r="Y9" s="97" t="s">
        <v>45</v>
      </c>
      <c r="Z9" s="96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3">
      <c r="A10" s="152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65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3">
      <c r="A11" s="153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67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3">
      <c r="A12" s="154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68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3">
      <c r="A13" s="155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69"/>
      <c r="G13" s="95" t="s">
        <v>46</v>
      </c>
      <c r="H13" s="96" t="s">
        <v>44</v>
      </c>
      <c r="I13" s="96" t="s">
        <v>44</v>
      </c>
      <c r="J13" s="96" t="s">
        <v>44</v>
      </c>
      <c r="K13" s="96" t="s">
        <v>44</v>
      </c>
      <c r="L13" s="96" t="s">
        <v>45</v>
      </c>
      <c r="M13" s="96" t="s">
        <v>44</v>
      </c>
      <c r="N13" s="96" t="s">
        <v>44</v>
      </c>
      <c r="O13" s="96" t="s">
        <v>46</v>
      </c>
      <c r="P13" s="96" t="s">
        <v>44</v>
      </c>
      <c r="Q13" s="96" t="s">
        <v>45</v>
      </c>
      <c r="R13" s="96" t="s">
        <v>46</v>
      </c>
      <c r="S13" s="96" t="s">
        <v>44</v>
      </c>
      <c r="T13" s="96" t="s">
        <v>44</v>
      </c>
      <c r="U13" s="97" t="s">
        <v>44</v>
      </c>
      <c r="V13" s="97" t="s">
        <v>46</v>
      </c>
      <c r="W13" s="97" t="s">
        <v>44</v>
      </c>
      <c r="X13" s="97" t="s">
        <v>44</v>
      </c>
      <c r="Y13" s="97" t="s">
        <v>44</v>
      </c>
      <c r="Z13" s="96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3">
      <c r="A14" s="156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65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3">
      <c r="A15" s="157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67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3">
      <c r="A16" s="158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68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1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3">
      <c r="A17" s="159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69"/>
      <c r="G17" s="95" t="s">
        <v>45</v>
      </c>
      <c r="H17" s="102" t="s">
        <v>45</v>
      </c>
      <c r="I17" s="102" t="s">
        <v>45</v>
      </c>
      <c r="J17" s="102" t="s">
        <v>45</v>
      </c>
      <c r="K17" s="102" t="s">
        <v>45</v>
      </c>
      <c r="L17" s="102" t="s">
        <v>45</v>
      </c>
      <c r="M17" s="102" t="s">
        <v>45</v>
      </c>
      <c r="N17" s="102" t="s">
        <v>45</v>
      </c>
      <c r="O17" s="102" t="s">
        <v>45</v>
      </c>
      <c r="P17" s="102" t="s">
        <v>45</v>
      </c>
      <c r="Q17" s="96" t="s">
        <v>44</v>
      </c>
      <c r="R17" s="96" t="s">
        <v>45</v>
      </c>
      <c r="S17" s="96" t="s">
        <v>45</v>
      </c>
      <c r="T17" s="96" t="s">
        <v>45</v>
      </c>
      <c r="U17" s="96" t="s">
        <v>45</v>
      </c>
      <c r="V17" s="96" t="s">
        <v>45</v>
      </c>
      <c r="W17" s="96" t="s">
        <v>45</v>
      </c>
      <c r="X17" s="96" t="s">
        <v>45</v>
      </c>
      <c r="Y17" s="96" t="s">
        <v>45</v>
      </c>
      <c r="Z17" s="96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3">
      <c r="A18" s="152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65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3">
      <c r="A19" s="153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67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3">
      <c r="A20" s="154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68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3">
      <c r="A21" s="155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69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3">
      <c r="A22" s="156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65"/>
      <c r="G22" s="103" t="s">
        <v>44</v>
      </c>
      <c r="H22" s="104" t="s">
        <v>44</v>
      </c>
      <c r="I22" s="104" t="s">
        <v>44</v>
      </c>
      <c r="J22" s="104" t="s">
        <v>44</v>
      </c>
      <c r="K22" s="104" t="s">
        <v>44</v>
      </c>
      <c r="L22" s="104" t="s">
        <v>44</v>
      </c>
      <c r="M22" s="104" t="s">
        <v>44</v>
      </c>
      <c r="N22" s="104" t="s">
        <v>44</v>
      </c>
      <c r="O22" s="104" t="s">
        <v>44</v>
      </c>
      <c r="P22" s="104" t="s">
        <v>44</v>
      </c>
      <c r="Q22" s="104" t="s">
        <v>44</v>
      </c>
      <c r="R22" s="104" t="s">
        <v>44</v>
      </c>
      <c r="S22" s="104" t="s">
        <v>44</v>
      </c>
      <c r="T22" s="104" t="s">
        <v>44</v>
      </c>
      <c r="U22" s="104" t="s">
        <v>44</v>
      </c>
      <c r="V22" s="104" t="s">
        <v>44</v>
      </c>
      <c r="W22" s="104" t="s">
        <v>44</v>
      </c>
      <c r="X22" s="104" t="s">
        <v>44</v>
      </c>
      <c r="Y22" s="104" t="s">
        <v>44</v>
      </c>
      <c r="Z22" s="105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3">
      <c r="A23" s="157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67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4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3">
      <c r="A24" s="158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68"/>
      <c r="G24" s="83" t="s">
        <v>44</v>
      </c>
      <c r="H24" s="106" t="s">
        <v>44</v>
      </c>
      <c r="I24" s="106" t="s">
        <v>44</v>
      </c>
      <c r="J24" s="106" t="s">
        <v>44</v>
      </c>
      <c r="K24" s="106" t="s">
        <v>44</v>
      </c>
      <c r="L24" s="106" t="s">
        <v>44</v>
      </c>
      <c r="M24" s="106" t="s">
        <v>44</v>
      </c>
      <c r="N24" s="106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7" t="s">
        <v>44</v>
      </c>
      <c r="V24" s="107" t="s">
        <v>44</v>
      </c>
      <c r="W24" s="107" t="s">
        <v>46</v>
      </c>
      <c r="X24" s="107" t="s">
        <v>44</v>
      </c>
      <c r="Y24" s="107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3">
      <c r="A25" s="159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69"/>
      <c r="G25" s="108" t="s">
        <v>44</v>
      </c>
      <c r="H25" s="109" t="s">
        <v>44</v>
      </c>
      <c r="I25" s="109" t="s">
        <v>44</v>
      </c>
      <c r="J25" s="109" t="s">
        <v>46</v>
      </c>
      <c r="K25" s="109" t="s">
        <v>44</v>
      </c>
      <c r="L25" s="109" t="s">
        <v>46</v>
      </c>
      <c r="M25" s="109" t="s">
        <v>44</v>
      </c>
      <c r="N25" s="109" t="s">
        <v>44</v>
      </c>
      <c r="O25" s="109" t="s">
        <v>44</v>
      </c>
      <c r="P25" s="109" t="s">
        <v>44</v>
      </c>
      <c r="Q25" s="109" t="s">
        <v>44</v>
      </c>
      <c r="R25" s="109" t="s">
        <v>44</v>
      </c>
      <c r="S25" s="109" t="s">
        <v>46</v>
      </c>
      <c r="T25" s="109" t="s">
        <v>44</v>
      </c>
      <c r="U25" s="109" t="s">
        <v>44</v>
      </c>
      <c r="V25" s="109" t="s">
        <v>44</v>
      </c>
      <c r="W25" s="109" t="s">
        <v>44</v>
      </c>
      <c r="X25" s="109" t="s">
        <v>44</v>
      </c>
      <c r="Y25" s="109" t="s">
        <v>44</v>
      </c>
      <c r="Z25" s="109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3">
      <c r="A26" s="152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65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3">
      <c r="A27" s="153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67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3">
      <c r="A28" s="154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68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3">
      <c r="A29" s="155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69"/>
      <c r="G29" s="95" t="s">
        <v>44</v>
      </c>
      <c r="H29" s="96" t="s">
        <v>44</v>
      </c>
      <c r="I29" s="96" t="s">
        <v>44</v>
      </c>
      <c r="J29" s="96" t="s">
        <v>44</v>
      </c>
      <c r="K29" s="96" t="s">
        <v>44</v>
      </c>
      <c r="L29" s="96" t="s">
        <v>44</v>
      </c>
      <c r="M29" s="96" t="s">
        <v>44</v>
      </c>
      <c r="N29" s="96" t="s">
        <v>44</v>
      </c>
      <c r="O29" s="96" t="s">
        <v>44</v>
      </c>
      <c r="P29" s="96" t="s">
        <v>44</v>
      </c>
      <c r="Q29" s="96" t="s">
        <v>44</v>
      </c>
      <c r="R29" s="96" t="s">
        <v>44</v>
      </c>
      <c r="S29" s="96" t="s">
        <v>46</v>
      </c>
      <c r="T29" s="96" t="s">
        <v>44</v>
      </c>
      <c r="U29" s="97" t="s">
        <v>44</v>
      </c>
      <c r="V29" s="97" t="s">
        <v>44</v>
      </c>
      <c r="W29" s="97" t="s">
        <v>45</v>
      </c>
      <c r="X29" s="97" t="s">
        <v>45</v>
      </c>
      <c r="Y29" s="97" t="s">
        <v>44</v>
      </c>
      <c r="Z29" s="96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3">
      <c r="A30" s="156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65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3">
      <c r="A31" s="157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67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3">
      <c r="A32" s="158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68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3">
      <c r="A33" s="159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69"/>
      <c r="G33" s="95" t="s">
        <v>44</v>
      </c>
      <c r="H33" s="96" t="s">
        <v>45</v>
      </c>
      <c r="I33" s="96" t="s">
        <v>44</v>
      </c>
      <c r="J33" s="96" t="s">
        <v>44</v>
      </c>
      <c r="K33" s="96" t="s">
        <v>44</v>
      </c>
      <c r="L33" s="96" t="s">
        <v>46</v>
      </c>
      <c r="M33" s="96" t="s">
        <v>44</v>
      </c>
      <c r="N33" s="96" t="s">
        <v>44</v>
      </c>
      <c r="O33" s="96" t="s">
        <v>46</v>
      </c>
      <c r="P33" s="96" t="s">
        <v>44</v>
      </c>
      <c r="Q33" s="96" t="s">
        <v>46</v>
      </c>
      <c r="R33" s="96" t="s">
        <v>44</v>
      </c>
      <c r="S33" s="96" t="s">
        <v>46</v>
      </c>
      <c r="T33" s="96" t="s">
        <v>44</v>
      </c>
      <c r="U33" s="97" t="s">
        <v>44</v>
      </c>
      <c r="V33" s="97" t="s">
        <v>44</v>
      </c>
      <c r="W33" s="97" t="s">
        <v>45</v>
      </c>
      <c r="X33" s="97" t="s">
        <v>45</v>
      </c>
      <c r="Y33" s="97" t="s">
        <v>44</v>
      </c>
      <c r="Z33" s="96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3">
      <c r="A34" s="152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65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3">
      <c r="A35" s="153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67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3">
      <c r="A36" s="154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68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3">
      <c r="A37" s="155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69"/>
      <c r="G37" s="95" t="s">
        <v>45</v>
      </c>
      <c r="H37" s="96" t="s">
        <v>45</v>
      </c>
      <c r="I37" s="96" t="s">
        <v>45</v>
      </c>
      <c r="J37" s="96" t="s">
        <v>45</v>
      </c>
      <c r="K37" s="96" t="s">
        <v>45</v>
      </c>
      <c r="L37" s="96" t="s">
        <v>45</v>
      </c>
      <c r="M37" s="96" t="s">
        <v>45</v>
      </c>
      <c r="N37" s="96" t="s">
        <v>45</v>
      </c>
      <c r="O37" s="96" t="s">
        <v>45</v>
      </c>
      <c r="P37" s="96" t="s">
        <v>45</v>
      </c>
      <c r="Q37" s="96" t="s">
        <v>46</v>
      </c>
      <c r="R37" s="96" t="s">
        <v>45</v>
      </c>
      <c r="S37" s="96" t="s">
        <v>45</v>
      </c>
      <c r="T37" s="96" t="s">
        <v>45</v>
      </c>
      <c r="U37" s="97" t="s">
        <v>45</v>
      </c>
      <c r="V37" s="97" t="s">
        <v>45</v>
      </c>
      <c r="W37" s="97" t="s">
        <v>45</v>
      </c>
      <c r="X37" s="97" t="s">
        <v>45</v>
      </c>
      <c r="Y37" s="97" t="s">
        <v>45</v>
      </c>
      <c r="Z37" s="96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3">
      <c r="A38" s="156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65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3">
      <c r="A39" s="157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67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3">
      <c r="A40" s="158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68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3">
      <c r="A41" s="159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69"/>
      <c r="G41" s="95" t="s">
        <v>44</v>
      </c>
      <c r="H41" s="96" t="s">
        <v>44</v>
      </c>
      <c r="I41" s="96" t="s">
        <v>44</v>
      </c>
      <c r="J41" s="96" t="s">
        <v>44</v>
      </c>
      <c r="K41" s="96" t="s">
        <v>44</v>
      </c>
      <c r="L41" s="96" t="s">
        <v>44</v>
      </c>
      <c r="M41" s="96" t="s">
        <v>44</v>
      </c>
      <c r="N41" s="96" t="s">
        <v>44</v>
      </c>
      <c r="O41" s="96" t="s">
        <v>44</v>
      </c>
      <c r="P41" s="96" t="s">
        <v>44</v>
      </c>
      <c r="Q41" s="96" t="s">
        <v>46</v>
      </c>
      <c r="R41" s="96"/>
      <c r="S41" s="96" t="s">
        <v>44</v>
      </c>
      <c r="T41" s="96" t="s">
        <v>44</v>
      </c>
      <c r="U41" s="97" t="s">
        <v>44</v>
      </c>
      <c r="V41" s="97" t="s">
        <v>44</v>
      </c>
      <c r="W41" s="97" t="s">
        <v>44</v>
      </c>
      <c r="X41" s="97" t="s">
        <v>44</v>
      </c>
      <c r="Y41" s="97" t="s">
        <v>44</v>
      </c>
      <c r="Z41" s="96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3">
      <c r="A42" s="152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65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3">
      <c r="A43" s="153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67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3">
      <c r="A44" s="154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68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3">
      <c r="A45" s="155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69"/>
      <c r="G45" s="95" t="s">
        <v>45</v>
      </c>
      <c r="H45" s="96" t="s">
        <v>45</v>
      </c>
      <c r="I45" s="96" t="s">
        <v>45</v>
      </c>
      <c r="J45" s="96" t="s">
        <v>45</v>
      </c>
      <c r="K45" s="96" t="s">
        <v>45</v>
      </c>
      <c r="L45" s="96" t="s">
        <v>46</v>
      </c>
      <c r="M45" s="96" t="s">
        <v>45</v>
      </c>
      <c r="N45" s="96" t="s">
        <v>45</v>
      </c>
      <c r="O45" s="96" t="s">
        <v>45</v>
      </c>
      <c r="P45" s="96" t="s">
        <v>45</v>
      </c>
      <c r="Q45" s="96" t="s">
        <v>45</v>
      </c>
      <c r="R45" s="96" t="s">
        <v>45</v>
      </c>
      <c r="S45" s="96" t="s">
        <v>44</v>
      </c>
      <c r="T45" s="96" t="s">
        <v>45</v>
      </c>
      <c r="U45" s="97" t="s">
        <v>46</v>
      </c>
      <c r="V45" s="97" t="s">
        <v>46</v>
      </c>
      <c r="W45" s="97" t="s">
        <v>45</v>
      </c>
      <c r="X45" s="97" t="s">
        <v>45</v>
      </c>
      <c r="Y45" s="97" t="s">
        <v>46</v>
      </c>
      <c r="Z45" s="96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3">
      <c r="A46" s="156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65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0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3">
      <c r="A47" s="157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67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3">
      <c r="A48" s="158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68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1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3">
      <c r="A49" s="159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69"/>
      <c r="G49" s="95" t="s">
        <v>45</v>
      </c>
      <c r="H49" s="102" t="s">
        <v>45</v>
      </c>
      <c r="I49" s="102" t="s">
        <v>45</v>
      </c>
      <c r="J49" s="102" t="s">
        <v>45</v>
      </c>
      <c r="K49" s="102" t="s">
        <v>45</v>
      </c>
      <c r="L49" s="102" t="s">
        <v>45</v>
      </c>
      <c r="M49" s="102" t="s">
        <v>45</v>
      </c>
      <c r="N49" s="102" t="s">
        <v>45</v>
      </c>
      <c r="O49" s="102" t="s">
        <v>45</v>
      </c>
      <c r="P49" s="102" t="s">
        <v>45</v>
      </c>
      <c r="Q49" s="102" t="s">
        <v>45</v>
      </c>
      <c r="R49" s="102" t="s">
        <v>45</v>
      </c>
      <c r="S49" s="102" t="s">
        <v>45</v>
      </c>
      <c r="T49" s="102" t="s">
        <v>45</v>
      </c>
      <c r="U49" s="102" t="s">
        <v>45</v>
      </c>
      <c r="V49" s="102" t="s">
        <v>45</v>
      </c>
      <c r="W49" s="102" t="s">
        <v>45</v>
      </c>
      <c r="X49" s="102" t="s">
        <v>45</v>
      </c>
      <c r="Y49" s="102" t="s">
        <v>45</v>
      </c>
      <c r="Z49" s="112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3">
      <c r="A50" s="152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65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1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3">
      <c r="A51" s="153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67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3">
      <c r="A52" s="154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68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3">
      <c r="A53" s="154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68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3">
      <c r="A54" s="154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68"/>
      <c r="G54" s="113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4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3">
      <c r="A55" s="155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69"/>
      <c r="G55" s="113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4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3">
      <c r="A56" s="156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65"/>
      <c r="G56" s="116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3">
      <c r="A57" s="157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67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3">
      <c r="A58" s="158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68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3">
      <c r="A59" s="158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68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3">
      <c r="A60" s="158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68"/>
      <c r="G60" s="114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3">
      <c r="A61" s="159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69"/>
      <c r="G61" s="115" t="s">
        <v>44</v>
      </c>
      <c r="H61" s="96" t="s">
        <v>44</v>
      </c>
      <c r="I61" s="96" t="s">
        <v>44</v>
      </c>
      <c r="J61" s="96" t="s">
        <v>44</v>
      </c>
      <c r="K61" s="96" t="s">
        <v>44</v>
      </c>
      <c r="L61" s="96" t="s">
        <v>44</v>
      </c>
      <c r="M61" s="96" t="s">
        <v>44</v>
      </c>
      <c r="N61" s="96" t="s">
        <v>44</v>
      </c>
      <c r="O61" s="96" t="s">
        <v>44</v>
      </c>
      <c r="P61" s="96" t="s">
        <v>44</v>
      </c>
      <c r="Q61" s="96" t="s">
        <v>44</v>
      </c>
      <c r="R61" s="96" t="s">
        <v>44</v>
      </c>
      <c r="S61" s="96" t="s">
        <v>44</v>
      </c>
      <c r="T61" s="96" t="s">
        <v>46</v>
      </c>
      <c r="U61" s="96" t="s">
        <v>44</v>
      </c>
      <c r="V61" s="96" t="s">
        <v>44</v>
      </c>
      <c r="W61" s="96" t="s">
        <v>45</v>
      </c>
      <c r="X61" s="96" t="s">
        <v>44</v>
      </c>
      <c r="Y61" s="96" t="s">
        <v>44</v>
      </c>
      <c r="Z61" s="96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3">
      <c r="A62" s="152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65"/>
      <c r="G62" s="111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3">
      <c r="A63" s="153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67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3">
      <c r="A64" s="154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68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3">
      <c r="A65" s="154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68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3">
      <c r="A66" s="154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68"/>
      <c r="G66" s="114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3">
      <c r="A67" s="155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69"/>
      <c r="G67" s="115" t="s">
        <v>44</v>
      </c>
      <c r="H67" s="96" t="s">
        <v>44</v>
      </c>
      <c r="I67" s="96" t="s">
        <v>44</v>
      </c>
      <c r="J67" s="96" t="s">
        <v>44</v>
      </c>
      <c r="K67" s="96" t="s">
        <v>44</v>
      </c>
      <c r="L67" s="96" t="s">
        <v>44</v>
      </c>
      <c r="M67" s="96" t="s">
        <v>44</v>
      </c>
      <c r="N67" s="96" t="s">
        <v>44</v>
      </c>
      <c r="O67" s="96" t="s">
        <v>44</v>
      </c>
      <c r="P67" s="96" t="s">
        <v>44</v>
      </c>
      <c r="Q67" s="96" t="s">
        <v>45</v>
      </c>
      <c r="R67" s="96" t="s">
        <v>46</v>
      </c>
      <c r="S67" s="96" t="s">
        <v>44</v>
      </c>
      <c r="T67" s="96" t="s">
        <v>44</v>
      </c>
      <c r="U67" s="96" t="s">
        <v>44</v>
      </c>
      <c r="V67" s="96" t="s">
        <v>44</v>
      </c>
      <c r="W67" s="96" t="s">
        <v>44</v>
      </c>
      <c r="X67" s="96" t="s">
        <v>44</v>
      </c>
      <c r="Y67" s="96" t="s">
        <v>44</v>
      </c>
      <c r="Z67" s="96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3">
      <c r="A68" s="160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161</v>
      </c>
      <c r="F68" s="165"/>
      <c r="G68" s="111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3</v>
      </c>
      <c r="AB68" s="73">
        <f t="shared" si="6"/>
        <v>3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3">
      <c r="A69" s="161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132</v>
      </c>
      <c r="F69" s="167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1</v>
      </c>
      <c r="AB69" s="73">
        <f t="shared" si="6"/>
        <v>3</v>
      </c>
      <c r="AC69" s="68" t="str">
        <f t="shared" si="9"/>
        <v>B</v>
      </c>
      <c r="AD69" s="53"/>
    </row>
    <row r="70" spans="1:30" ht="15.75" thickBot="1" x14ac:dyDescent="0.3">
      <c r="A70" s="162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68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3">
      <c r="A71" s="162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68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3">
      <c r="A72" s="162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68"/>
      <c r="G72" s="114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3">
      <c r="A73" s="163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70"/>
      <c r="G73" s="115" t="s">
        <v>44</v>
      </c>
      <c r="H73" s="96" t="s">
        <v>45</v>
      </c>
      <c r="I73" s="96" t="s">
        <v>44</v>
      </c>
      <c r="J73" s="96" t="s">
        <v>46</v>
      </c>
      <c r="K73" s="96" t="s">
        <v>46</v>
      </c>
      <c r="L73" s="96" t="s">
        <v>45</v>
      </c>
      <c r="M73" s="96" t="s">
        <v>44</v>
      </c>
      <c r="N73" s="96" t="s">
        <v>44</v>
      </c>
      <c r="O73" s="96" t="s">
        <v>45</v>
      </c>
      <c r="P73" s="96" t="s">
        <v>45</v>
      </c>
      <c r="Q73" s="96" t="s">
        <v>44</v>
      </c>
      <c r="R73" s="96" t="s">
        <v>45</v>
      </c>
      <c r="S73" s="96" t="s">
        <v>44</v>
      </c>
      <c r="T73" s="96" t="s">
        <v>46</v>
      </c>
      <c r="U73" s="96" t="s">
        <v>45</v>
      </c>
      <c r="V73" s="96"/>
      <c r="W73" s="96" t="s">
        <v>45</v>
      </c>
      <c r="X73" s="96" t="s">
        <v>44</v>
      </c>
      <c r="Y73" s="96" t="s">
        <v>44</v>
      </c>
      <c r="Z73" s="96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3">
      <c r="F74" s="84" t="s">
        <v>128</v>
      </c>
      <c r="G74" s="92" cm="1">
        <f t="array" ref="G74">SUMPRODUCT(--(UPPER(G2:G73)=$AC$2:$AC$73),--($AC$2:$AC$73&lt;&gt;""))</f>
        <v>42</v>
      </c>
      <c r="H74" s="92" cm="1">
        <f t="array" ref="H74">SUMPRODUCT(--(UPPER(H2:H73)=$AC$2:$AC$73),--($AC$2:$AC$73&lt;&gt;""))</f>
        <v>42</v>
      </c>
      <c r="I74" s="92" cm="1">
        <f t="array" ref="I74">SUMPRODUCT(--(UPPER(I2:I73)=$AC$2:$AC$73),--($AC$2:$AC$73&lt;&gt;""))</f>
        <v>42</v>
      </c>
      <c r="J74" s="92" cm="1">
        <f t="array" ref="J74">SUMPRODUCT(--(UPPER(J2:J73)=$AC$2:$AC$73),--($AC$2:$AC$73&lt;&gt;""))</f>
        <v>44</v>
      </c>
      <c r="K74" s="92" cm="1">
        <f t="array" ref="K74">SUMPRODUCT(--(UPPER(K2:K73)=$AC$2:$AC$73),--($AC$2:$AC$73&lt;&gt;""))</f>
        <v>40</v>
      </c>
      <c r="L74" s="92" cm="1">
        <f t="array" ref="L74">SUMPRODUCT(--(UPPER(L2:L73)=$AC$2:$AC$73),--($AC$2:$AC$73&lt;&gt;""))</f>
        <v>40</v>
      </c>
      <c r="M74" s="92" cm="1">
        <f t="array" ref="M74">SUMPRODUCT(--(UPPER(M2:M73)=$AC$2:$AC$73),--($AC$2:$AC$73&lt;&gt;""))</f>
        <v>44</v>
      </c>
      <c r="N74" s="92" cm="1">
        <f t="array" ref="N74">SUMPRODUCT(--(UPPER(N2:N73)=$AC$2:$AC$73),--($AC$2:$AC$73&lt;&gt;""))</f>
        <v>47</v>
      </c>
      <c r="O74" s="92" cm="1">
        <f t="array" ref="O74">SUMPRODUCT(--(UPPER(O2:O73)=$AC$2:$AC$73),--($AC$2:$AC$73&lt;&gt;""))</f>
        <v>38</v>
      </c>
      <c r="P74" s="92" cm="1">
        <f t="array" ref="P74">SUMPRODUCT(--(UPPER(P2:P73)=$AC$2:$AC$73),--($AC$2:$AC$73&lt;&gt;""))</f>
        <v>42</v>
      </c>
      <c r="Q74" s="92" cm="1">
        <f t="array" ref="Q74">SUMPRODUCT(--(UPPER(Q2:Q73)=$AC$2:$AC$73),--($AC$2:$AC$73&lt;&gt;""))</f>
        <v>39</v>
      </c>
      <c r="R74" s="92" cm="1">
        <f t="array" ref="R74">SUMPRODUCT(--(UPPER(R2:R73)=$AC$2:$AC$73),--($AC$2:$AC$73&lt;&gt;""))</f>
        <v>37</v>
      </c>
      <c r="S74" s="92" cm="1">
        <f t="array" ref="S74">SUMPRODUCT(--(UPPER(S2:S73)=$AC$2:$AC$73),--($AC$2:$AC$73&lt;&gt;""))</f>
        <v>35</v>
      </c>
      <c r="T74" s="92" cm="1">
        <f t="array" ref="T74">SUMPRODUCT(--(UPPER(T2:T73)=$AC$2:$AC$73),--($AC$2:$AC$73&lt;&gt;""))</f>
        <v>36</v>
      </c>
      <c r="U74" s="92" cm="1">
        <f t="array" ref="U74">SUMPRODUCT(--(UPPER(U2:U73)=$AC$2:$AC$73),--($AC$2:$AC$73&lt;&gt;""))</f>
        <v>41</v>
      </c>
      <c r="V74" s="92" cm="1">
        <f t="array" ref="V74">SUMPRODUCT(--(UPPER(V2:V73)=$AC$2:$AC$73),--($AC$2:$AC$73&lt;&gt;""))</f>
        <v>38</v>
      </c>
      <c r="W74" s="92" cm="1">
        <f t="array" ref="W74">SUMPRODUCT(--(UPPER(W2:W73)=$AC$2:$AC$73),--($AC$2:$AC$73&lt;&gt;""))</f>
        <v>41</v>
      </c>
      <c r="X74" s="92" cm="1">
        <f t="array" ref="X74">SUMPRODUCT(--(UPPER(X2:X73)=$AC$2:$AC$73),--($AC$2:$AC$73&lt;&gt;""))</f>
        <v>38</v>
      </c>
      <c r="Y74" s="92" cm="1">
        <f t="array" ref="Y74">SUMPRODUCT(--(UPPER(Y2:Y73)=$AC$2:$AC$73),--($AC$2:$AC$73&lt;&gt;""))</f>
        <v>39</v>
      </c>
      <c r="Z74" s="92" cm="1">
        <f t="array" ref="Z74">SUMPRODUCT(--(UPPER(Z2:Z73)=$AC$2:$AC$73),--($AC$2:$AC$73&lt;&gt;""))</f>
        <v>33</v>
      </c>
    </row>
  </sheetData>
  <mergeCells count="18"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  <mergeCell ref="A62:A67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E18"/>
  <sheetViews>
    <sheetView tabSelected="1" topLeftCell="D1" workbookViewId="0">
      <pane ySplit="1" topLeftCell="A2" activePane="bottomLeft" state="frozen"/>
      <selection activeCell="S1" sqref="S1"/>
      <selection pane="bottomLeft" activeCell="E12" sqref="E12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thickBot="1" x14ac:dyDescent="0.3">
      <c r="A1" s="117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45" t="s">
        <v>162</v>
      </c>
      <c r="G1" s="141" t="s">
        <v>163</v>
      </c>
      <c r="H1" s="125"/>
      <c r="I1" s="91" t="s">
        <v>3</v>
      </c>
      <c r="J1" s="132" t="s">
        <v>5</v>
      </c>
      <c r="K1" s="91" t="s">
        <v>6</v>
      </c>
      <c r="L1" s="91" t="s">
        <v>35</v>
      </c>
      <c r="M1" s="91" t="s">
        <v>7</v>
      </c>
      <c r="N1" s="91" t="s">
        <v>36</v>
      </c>
      <c r="O1" s="91" t="s">
        <v>8</v>
      </c>
      <c r="P1" s="91" t="s">
        <v>9</v>
      </c>
      <c r="Q1" s="91" t="s">
        <v>18</v>
      </c>
      <c r="R1" s="91" t="s">
        <v>10</v>
      </c>
      <c r="S1" s="91" t="s">
        <v>37</v>
      </c>
      <c r="T1" s="91" t="s">
        <v>11</v>
      </c>
      <c r="U1" s="91" t="s">
        <v>12</v>
      </c>
      <c r="V1" s="91" t="s">
        <v>13</v>
      </c>
      <c r="W1" s="91" t="s">
        <v>38</v>
      </c>
      <c r="X1" s="91" t="s">
        <v>14</v>
      </c>
      <c r="Y1" s="91" t="s">
        <v>15</v>
      </c>
      <c r="Z1" s="91" t="s">
        <v>16</v>
      </c>
      <c r="AA1" s="91" t="s">
        <v>17</v>
      </c>
      <c r="AB1" s="91" t="s">
        <v>19</v>
      </c>
      <c r="AC1" s="133" t="s">
        <v>39</v>
      </c>
      <c r="AD1" s="134" t="s">
        <v>40</v>
      </c>
      <c r="AE1" s="69" t="s">
        <v>41</v>
      </c>
    </row>
    <row r="2" spans="1:31" ht="15.75" thickBot="1" x14ac:dyDescent="0.3">
      <c r="A2" s="122">
        <v>46201</v>
      </c>
      <c r="B2" s="119" t="s">
        <v>144</v>
      </c>
      <c r="C2" s="120" t="str">
        <f>TRIM(LEFT(B2,FIND(" x ",B2)-1))</f>
        <v>África do Sul</v>
      </c>
      <c r="D2" s="120" t="str">
        <f>TRIM(MID(B2,FIND(" x ",B2)+3,100))</f>
        <v>Canadá</v>
      </c>
      <c r="E2" s="135" t="s">
        <v>56</v>
      </c>
      <c r="F2" s="146"/>
      <c r="G2" s="144"/>
      <c r="H2" s="142"/>
      <c r="I2" s="136" t="s">
        <v>45</v>
      </c>
      <c r="J2" s="137" t="s">
        <v>44</v>
      </c>
      <c r="K2" s="136" t="s">
        <v>45</v>
      </c>
      <c r="L2" s="136" t="s">
        <v>44</v>
      </c>
      <c r="M2" s="136" t="s">
        <v>46</v>
      </c>
      <c r="N2" s="136" t="s">
        <v>45</v>
      </c>
      <c r="O2" s="136" t="s">
        <v>45</v>
      </c>
      <c r="P2" s="136" t="s">
        <v>45</v>
      </c>
      <c r="Q2" s="136" t="s">
        <v>45</v>
      </c>
      <c r="R2" s="136" t="s">
        <v>45</v>
      </c>
      <c r="S2" s="136" t="s">
        <v>44</v>
      </c>
      <c r="T2" s="136"/>
      <c r="U2" s="136" t="s">
        <v>45</v>
      </c>
      <c r="V2" s="136" t="s">
        <v>45</v>
      </c>
      <c r="W2" s="136" t="s">
        <v>45</v>
      </c>
      <c r="X2" s="136" t="s">
        <v>45</v>
      </c>
      <c r="Y2" s="136"/>
      <c r="Z2" s="136" t="s">
        <v>44</v>
      </c>
      <c r="AA2" s="136" t="s">
        <v>45</v>
      </c>
      <c r="AB2" s="136"/>
      <c r="AC2" s="66">
        <f>IFERROR(VALUE(TRIM(LEFT($E2,SEARCH("x",$E2)-1))),"")</f>
        <v>0</v>
      </c>
      <c r="AD2" s="73">
        <f>IFERROR(VALUE(TRIM(MID($E2,SEARCH("x",$E2)+1,10))),"")</f>
        <v>1</v>
      </c>
      <c r="AE2" s="71" t="str">
        <f>IF(OR($AC2="",$AD2=""),"",IF($AC2&gt;$AD2,"A",IF($AC2&lt;$AD2,"B","E")))</f>
        <v>B</v>
      </c>
    </row>
    <row r="3" spans="1:31" ht="15.75" thickBot="1" x14ac:dyDescent="0.3">
      <c r="A3" s="147">
        <v>46202</v>
      </c>
      <c r="B3" s="118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5" t="s">
        <v>50</v>
      </c>
      <c r="F3" s="146" t="s">
        <v>45</v>
      </c>
      <c r="G3" s="144"/>
      <c r="H3" s="143"/>
      <c r="I3" s="65" t="s">
        <v>44</v>
      </c>
      <c r="J3" s="111" t="s">
        <v>44</v>
      </c>
      <c r="K3" s="65" t="s">
        <v>44</v>
      </c>
      <c r="L3" s="65" t="s">
        <v>44</v>
      </c>
      <c r="M3" s="65" t="s">
        <v>44</v>
      </c>
      <c r="N3" s="65" t="s">
        <v>44</v>
      </c>
      <c r="O3" s="65" t="s">
        <v>44</v>
      </c>
      <c r="P3" s="65" t="s">
        <v>44</v>
      </c>
      <c r="Q3" s="65" t="s">
        <v>44</v>
      </c>
      <c r="R3" s="65" t="s">
        <v>44</v>
      </c>
      <c r="S3" s="65" t="s">
        <v>44</v>
      </c>
      <c r="T3" s="65" t="s">
        <v>44</v>
      </c>
      <c r="U3" s="65" t="s">
        <v>44</v>
      </c>
      <c r="V3" s="65" t="s">
        <v>44</v>
      </c>
      <c r="W3" s="65" t="s">
        <v>44</v>
      </c>
      <c r="X3" s="65" t="s">
        <v>44</v>
      </c>
      <c r="Y3" s="65" t="s">
        <v>44</v>
      </c>
      <c r="Z3" s="65" t="s">
        <v>45</v>
      </c>
      <c r="AA3" s="65" t="s">
        <v>44</v>
      </c>
      <c r="AB3" s="65" t="s">
        <v>44</v>
      </c>
      <c r="AC3" s="129">
        <f t="shared" ref="AC3:AC17" si="2">IFERROR(VALUE(TRIM(LEFT($E3,SEARCH("x",$E3)-1))),"")</f>
        <v>1</v>
      </c>
      <c r="AD3" s="130">
        <f t="shared" ref="AD3:AD17" si="3">IFERROR(VALUE(TRIM(MID($E3,SEARCH("x",$E3)+1,10))),"")</f>
        <v>1</v>
      </c>
      <c r="AE3" s="131" t="str">
        <f t="shared" ref="AE3:AE17" si="4">IF(OR($AC3="",$AD3=""),"",IF($AC3&gt;$AD3,"A",IF($AC3&lt;$AD3,"B","E")))</f>
        <v>E</v>
      </c>
    </row>
    <row r="4" spans="1:31" ht="15.75" thickBot="1" x14ac:dyDescent="0.3">
      <c r="A4" s="147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1" t="s">
        <v>50</v>
      </c>
      <c r="F4" s="146" t="s">
        <v>45</v>
      </c>
      <c r="G4" s="144"/>
      <c r="H4" s="143"/>
      <c r="I4" s="60" t="s">
        <v>44</v>
      </c>
      <c r="J4" s="86" t="s">
        <v>45</v>
      </c>
      <c r="K4" s="60" t="s">
        <v>44</v>
      </c>
      <c r="L4" s="60" t="s">
        <v>44</v>
      </c>
      <c r="M4" s="60" t="s">
        <v>44</v>
      </c>
      <c r="N4" s="60" t="s">
        <v>44</v>
      </c>
      <c r="O4" s="60" t="s">
        <v>44</v>
      </c>
      <c r="P4" s="60" t="s">
        <v>44</v>
      </c>
      <c r="Q4" s="60" t="s">
        <v>46</v>
      </c>
      <c r="R4" s="60" t="s">
        <v>45</v>
      </c>
      <c r="S4" s="60" t="s">
        <v>45</v>
      </c>
      <c r="T4" s="60" t="s">
        <v>45</v>
      </c>
      <c r="U4" s="60" t="s">
        <v>44</v>
      </c>
      <c r="V4" s="60" t="s">
        <v>46</v>
      </c>
      <c r="W4" s="60" t="s">
        <v>44</v>
      </c>
      <c r="X4" s="60" t="s">
        <v>44</v>
      </c>
      <c r="Y4" s="60" t="s">
        <v>44</v>
      </c>
      <c r="Z4" s="60" t="s">
        <v>44</v>
      </c>
      <c r="AA4" s="60" t="s">
        <v>44</v>
      </c>
      <c r="AB4" s="60" t="s">
        <v>44</v>
      </c>
      <c r="AC4" s="126">
        <f t="shared" si="2"/>
        <v>1</v>
      </c>
      <c r="AD4" s="128">
        <f t="shared" si="3"/>
        <v>1</v>
      </c>
      <c r="AE4" s="127" t="str">
        <f t="shared" si="4"/>
        <v>E</v>
      </c>
    </row>
    <row r="5" spans="1:31" ht="15.75" thickBot="1" x14ac:dyDescent="0.3">
      <c r="A5" s="148"/>
      <c r="B5" s="119" t="s">
        <v>147</v>
      </c>
      <c r="C5" s="120" t="str">
        <f t="shared" si="0"/>
        <v>Brasil</v>
      </c>
      <c r="D5" s="120" t="str">
        <f t="shared" si="1"/>
        <v>Japão</v>
      </c>
      <c r="E5" s="121" t="s">
        <v>48</v>
      </c>
      <c r="F5" s="146"/>
      <c r="G5" s="144"/>
      <c r="H5" s="142"/>
      <c r="I5" s="96" t="s">
        <v>44</v>
      </c>
      <c r="J5" s="115" t="s">
        <v>44</v>
      </c>
      <c r="K5" s="96" t="s">
        <v>44</v>
      </c>
      <c r="L5" s="96" t="s">
        <v>44</v>
      </c>
      <c r="M5" s="96" t="s">
        <v>44</v>
      </c>
      <c r="N5" s="96" t="s">
        <v>44</v>
      </c>
      <c r="O5" s="96" t="s">
        <v>44</v>
      </c>
      <c r="P5" s="96" t="s">
        <v>44</v>
      </c>
      <c r="Q5" s="96" t="s">
        <v>44</v>
      </c>
      <c r="R5" s="96" t="s">
        <v>44</v>
      </c>
      <c r="S5" s="96" t="s">
        <v>44</v>
      </c>
      <c r="T5" s="96" t="s">
        <v>44</v>
      </c>
      <c r="U5" s="96" t="s">
        <v>44</v>
      </c>
      <c r="V5" s="96" t="s">
        <v>44</v>
      </c>
      <c r="W5" s="96" t="s">
        <v>44</v>
      </c>
      <c r="X5" s="96" t="s">
        <v>44</v>
      </c>
      <c r="Y5" s="96" t="s">
        <v>44</v>
      </c>
      <c r="Z5" s="96" t="s">
        <v>44</v>
      </c>
      <c r="AA5" s="96" t="s">
        <v>44</v>
      </c>
      <c r="AB5" s="96" t="s">
        <v>44</v>
      </c>
      <c r="AC5" s="138">
        <f t="shared" si="2"/>
        <v>2</v>
      </c>
      <c r="AD5" s="139">
        <f t="shared" si="3"/>
        <v>1</v>
      </c>
      <c r="AE5" s="140" t="str">
        <f t="shared" si="4"/>
        <v>A</v>
      </c>
    </row>
    <row r="6" spans="1:31" ht="15.75" thickBot="1" x14ac:dyDescent="0.3">
      <c r="A6" s="147">
        <v>46203</v>
      </c>
      <c r="B6" s="118" t="s">
        <v>148</v>
      </c>
      <c r="C6" s="36" t="str">
        <f t="shared" si="0"/>
        <v>França</v>
      </c>
      <c r="D6" s="36" t="str">
        <f t="shared" si="1"/>
        <v>Suécia</v>
      </c>
      <c r="E6" s="135" t="s">
        <v>164</v>
      </c>
      <c r="F6" s="146"/>
      <c r="G6" s="144"/>
      <c r="H6" s="143"/>
      <c r="I6" s="65" t="s">
        <v>44</v>
      </c>
      <c r="J6" s="111" t="s">
        <v>44</v>
      </c>
      <c r="K6" s="65" t="s">
        <v>44</v>
      </c>
      <c r="L6" s="65" t="s">
        <v>44</v>
      </c>
      <c r="M6" s="65" t="s">
        <v>44</v>
      </c>
      <c r="N6" s="65" t="s">
        <v>44</v>
      </c>
      <c r="O6" s="65" t="s">
        <v>44</v>
      </c>
      <c r="P6" s="65" t="s">
        <v>44</v>
      </c>
      <c r="Q6" s="65" t="s">
        <v>44</v>
      </c>
      <c r="R6" s="65" t="s">
        <v>44</v>
      </c>
      <c r="S6" s="65" t="s">
        <v>44</v>
      </c>
      <c r="T6" s="65" t="s">
        <v>44</v>
      </c>
      <c r="U6" s="65" t="s">
        <v>44</v>
      </c>
      <c r="V6" s="65" t="s">
        <v>44</v>
      </c>
      <c r="W6" s="65" t="s">
        <v>44</v>
      </c>
      <c r="X6" s="65" t="s">
        <v>44</v>
      </c>
      <c r="Y6" s="65" t="s">
        <v>44</v>
      </c>
      <c r="Z6" s="65" t="s">
        <v>44</v>
      </c>
      <c r="AA6" s="65" t="s">
        <v>44</v>
      </c>
      <c r="AB6" s="65" t="s">
        <v>44</v>
      </c>
      <c r="AC6" s="129">
        <f t="shared" si="2"/>
        <v>3</v>
      </c>
      <c r="AD6" s="130">
        <f t="shared" si="3"/>
        <v>0</v>
      </c>
      <c r="AE6" s="131" t="str">
        <f t="shared" si="4"/>
        <v>A</v>
      </c>
    </row>
    <row r="7" spans="1:31" ht="15.75" thickBot="1" x14ac:dyDescent="0.3">
      <c r="A7" s="147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1" t="s">
        <v>137</v>
      </c>
      <c r="F7" s="146"/>
      <c r="G7" s="144"/>
      <c r="H7" s="143"/>
      <c r="I7" s="60" t="s">
        <v>45</v>
      </c>
      <c r="J7" s="86" t="s">
        <v>44</v>
      </c>
      <c r="K7" s="60" t="s">
        <v>45</v>
      </c>
      <c r="L7" s="60" t="s">
        <v>45</v>
      </c>
      <c r="M7" s="60" t="s">
        <v>45</v>
      </c>
      <c r="N7" s="60" t="s">
        <v>45</v>
      </c>
      <c r="O7" s="60" t="s">
        <v>45</v>
      </c>
      <c r="P7" s="60" t="s">
        <v>45</v>
      </c>
      <c r="Q7" s="60" t="s">
        <v>44</v>
      </c>
      <c r="R7" s="60" t="s">
        <v>45</v>
      </c>
      <c r="S7" s="60" t="s">
        <v>45</v>
      </c>
      <c r="T7" s="60" t="s">
        <v>46</v>
      </c>
      <c r="U7" s="60" t="s">
        <v>45</v>
      </c>
      <c r="V7" s="60" t="s">
        <v>46</v>
      </c>
      <c r="W7" s="60" t="s">
        <v>46</v>
      </c>
      <c r="X7" s="60" t="s">
        <v>44</v>
      </c>
      <c r="Y7" s="60" t="s">
        <v>46</v>
      </c>
      <c r="Z7" s="60" t="s">
        <v>44</v>
      </c>
      <c r="AA7" s="60" t="s">
        <v>45</v>
      </c>
      <c r="AB7" s="60" t="s">
        <v>45</v>
      </c>
      <c r="AC7" s="126">
        <f t="shared" si="2"/>
        <v>1</v>
      </c>
      <c r="AD7" s="128">
        <f t="shared" si="3"/>
        <v>2</v>
      </c>
      <c r="AE7" s="127" t="str">
        <f t="shared" si="4"/>
        <v>B</v>
      </c>
    </row>
    <row r="8" spans="1:31" ht="15.75" thickBot="1" x14ac:dyDescent="0.3">
      <c r="A8" s="148"/>
      <c r="B8" s="119" t="s">
        <v>150</v>
      </c>
      <c r="C8" s="120" t="str">
        <f t="shared" si="0"/>
        <v>México</v>
      </c>
      <c r="D8" s="120" t="str">
        <f t="shared" si="1"/>
        <v>Equador</v>
      </c>
      <c r="E8" s="121" t="s">
        <v>43</v>
      </c>
      <c r="F8" s="146"/>
      <c r="G8" s="144"/>
      <c r="H8" s="142"/>
      <c r="I8" s="96" t="s">
        <v>44</v>
      </c>
      <c r="J8" s="115" t="s">
        <v>44</v>
      </c>
      <c r="K8" s="96" t="s">
        <v>44</v>
      </c>
      <c r="L8" s="96" t="s">
        <v>44</v>
      </c>
      <c r="M8" s="96" t="s">
        <v>44</v>
      </c>
      <c r="N8" s="96" t="s">
        <v>44</v>
      </c>
      <c r="O8" s="96" t="s">
        <v>44</v>
      </c>
      <c r="P8" s="96" t="s">
        <v>44</v>
      </c>
      <c r="Q8" s="96" t="s">
        <v>45</v>
      </c>
      <c r="R8" s="96" t="s">
        <v>45</v>
      </c>
      <c r="S8" s="96" t="s">
        <v>44</v>
      </c>
      <c r="T8" s="96" t="s">
        <v>46</v>
      </c>
      <c r="U8" s="96" t="s">
        <v>45</v>
      </c>
      <c r="V8" s="96" t="s">
        <v>44</v>
      </c>
      <c r="W8" s="96" t="s">
        <v>44</v>
      </c>
      <c r="X8" s="96" t="s">
        <v>44</v>
      </c>
      <c r="Y8" s="96" t="s">
        <v>45</v>
      </c>
      <c r="Z8" s="96" t="s">
        <v>44</v>
      </c>
      <c r="AA8" s="96" t="s">
        <v>44</v>
      </c>
      <c r="AB8" s="96" t="s">
        <v>44</v>
      </c>
      <c r="AC8" s="138">
        <f t="shared" si="2"/>
        <v>2</v>
      </c>
      <c r="AD8" s="139">
        <f t="shared" si="3"/>
        <v>0</v>
      </c>
      <c r="AE8" s="140" t="str">
        <f t="shared" si="4"/>
        <v>A</v>
      </c>
    </row>
    <row r="9" spans="1:31" ht="15.75" thickBot="1" x14ac:dyDescent="0.3">
      <c r="A9" s="147">
        <v>46204</v>
      </c>
      <c r="B9" s="118" t="s">
        <v>151</v>
      </c>
      <c r="C9" s="36" t="str">
        <f t="shared" si="0"/>
        <v>Inglaterra</v>
      </c>
      <c r="D9" s="36" t="str">
        <f t="shared" si="1"/>
        <v>Rep. Dem. Congo</v>
      </c>
      <c r="E9" s="135" t="s">
        <v>48</v>
      </c>
      <c r="F9" s="146"/>
      <c r="G9" s="144"/>
      <c r="H9" s="143"/>
      <c r="I9" s="65" t="s">
        <v>44</v>
      </c>
      <c r="J9" s="65" t="s">
        <v>44</v>
      </c>
      <c r="K9" s="65" t="s">
        <v>44</v>
      </c>
      <c r="L9" s="65" t="s">
        <v>44</v>
      </c>
      <c r="M9" s="65" t="s">
        <v>44</v>
      </c>
      <c r="N9" s="65" t="s">
        <v>44</v>
      </c>
      <c r="O9" s="65" t="s">
        <v>44</v>
      </c>
      <c r="P9" s="65"/>
      <c r="Q9" s="65" t="s">
        <v>44</v>
      </c>
      <c r="R9" s="65" t="s">
        <v>44</v>
      </c>
      <c r="S9" s="65" t="s">
        <v>44</v>
      </c>
      <c r="T9" s="65" t="s">
        <v>44</v>
      </c>
      <c r="U9" s="65" t="s">
        <v>44</v>
      </c>
      <c r="V9" s="65" t="s">
        <v>44</v>
      </c>
      <c r="W9" s="65" t="s">
        <v>44</v>
      </c>
      <c r="X9" s="65" t="s">
        <v>44</v>
      </c>
      <c r="Y9" s="65" t="s">
        <v>44</v>
      </c>
      <c r="Z9" s="65" t="s">
        <v>44</v>
      </c>
      <c r="AA9" s="65" t="s">
        <v>44</v>
      </c>
      <c r="AB9" s="65"/>
      <c r="AC9" s="129">
        <f t="shared" si="2"/>
        <v>2</v>
      </c>
      <c r="AD9" s="130">
        <f t="shared" si="3"/>
        <v>1</v>
      </c>
      <c r="AE9" s="131" t="str">
        <f t="shared" si="4"/>
        <v>A</v>
      </c>
    </row>
    <row r="10" spans="1:31" ht="15.75" thickBot="1" x14ac:dyDescent="0.3">
      <c r="A10" s="147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1" t="s">
        <v>160</v>
      </c>
      <c r="F10" s="146"/>
      <c r="G10" s="144"/>
      <c r="H10" s="143"/>
      <c r="I10" s="60" t="s">
        <v>44</v>
      </c>
      <c r="J10" s="60" t="s">
        <v>44</v>
      </c>
      <c r="K10" s="60" t="s">
        <v>44</v>
      </c>
      <c r="L10" s="60" t="s">
        <v>44</v>
      </c>
      <c r="M10" s="60" t="s">
        <v>44</v>
      </c>
      <c r="N10" s="60" t="s">
        <v>44</v>
      </c>
      <c r="O10" s="60" t="s">
        <v>44</v>
      </c>
      <c r="P10" s="60" t="s">
        <v>44</v>
      </c>
      <c r="Q10" s="60" t="s">
        <v>44</v>
      </c>
      <c r="R10" s="60" t="s">
        <v>44</v>
      </c>
      <c r="S10" s="60" t="s">
        <v>44</v>
      </c>
      <c r="T10" s="60" t="s">
        <v>44</v>
      </c>
      <c r="U10" s="60" t="s">
        <v>44</v>
      </c>
      <c r="V10" s="60" t="s">
        <v>44</v>
      </c>
      <c r="W10" s="60" t="s">
        <v>44</v>
      </c>
      <c r="X10" s="60" t="s">
        <v>44</v>
      </c>
      <c r="Y10" s="60" t="s">
        <v>44</v>
      </c>
      <c r="Z10" s="60" t="s">
        <v>44</v>
      </c>
      <c r="AA10" s="60" t="s">
        <v>44</v>
      </c>
      <c r="AB10" s="60" t="s">
        <v>44</v>
      </c>
      <c r="AC10" s="126" t="str">
        <f t="shared" si="2"/>
        <v/>
      </c>
      <c r="AD10" s="128" t="str">
        <f t="shared" si="3"/>
        <v/>
      </c>
      <c r="AE10" s="127" t="str">
        <f t="shared" si="4"/>
        <v/>
      </c>
    </row>
    <row r="11" spans="1:31" ht="15.75" thickBot="1" x14ac:dyDescent="0.3">
      <c r="A11" s="148"/>
      <c r="B11" s="119" t="s">
        <v>153</v>
      </c>
      <c r="C11" s="120" t="str">
        <f t="shared" si="0"/>
        <v>Bélgica</v>
      </c>
      <c r="D11" s="120" t="str">
        <f t="shared" si="1"/>
        <v>Senegal</v>
      </c>
      <c r="E11" s="121" t="s">
        <v>43</v>
      </c>
      <c r="F11" s="146"/>
      <c r="G11" s="144"/>
      <c r="H11" s="142"/>
      <c r="I11" s="96" t="s">
        <v>44</v>
      </c>
      <c r="J11" s="115" t="s">
        <v>45</v>
      </c>
      <c r="K11" s="96" t="s">
        <v>45</v>
      </c>
      <c r="L11" s="96" t="s">
        <v>44</v>
      </c>
      <c r="M11" s="96" t="s">
        <v>44</v>
      </c>
      <c r="N11" s="96" t="s">
        <v>45</v>
      </c>
      <c r="O11" s="96" t="s">
        <v>45</v>
      </c>
      <c r="P11" s="96" t="s">
        <v>44</v>
      </c>
      <c r="Q11" s="96" t="s">
        <v>46</v>
      </c>
      <c r="R11" s="96"/>
      <c r="S11" s="96" t="s">
        <v>44</v>
      </c>
      <c r="T11" s="96" t="s">
        <v>45</v>
      </c>
      <c r="U11" s="96" t="s">
        <v>45</v>
      </c>
      <c r="V11" s="96" t="s">
        <v>46</v>
      </c>
      <c r="W11" s="96" t="s">
        <v>44</v>
      </c>
      <c r="X11" s="96" t="s">
        <v>45</v>
      </c>
      <c r="Y11" s="96" t="s">
        <v>45</v>
      </c>
      <c r="Z11" s="96" t="s">
        <v>44</v>
      </c>
      <c r="AA11" s="96" t="s">
        <v>45</v>
      </c>
      <c r="AB11" s="96" t="s">
        <v>46</v>
      </c>
      <c r="AC11" s="138">
        <f t="shared" si="2"/>
        <v>2</v>
      </c>
      <c r="AD11" s="139">
        <f t="shared" si="3"/>
        <v>0</v>
      </c>
      <c r="AE11" s="140" t="str">
        <f t="shared" si="4"/>
        <v>A</v>
      </c>
    </row>
    <row r="12" spans="1:31" ht="15.75" thickBot="1" x14ac:dyDescent="0.3">
      <c r="A12" s="147">
        <v>46205</v>
      </c>
      <c r="B12" s="118" t="s">
        <v>154</v>
      </c>
      <c r="C12" s="36" t="str">
        <f t="shared" si="0"/>
        <v>Portugal</v>
      </c>
      <c r="D12" s="36" t="str">
        <f t="shared" si="1"/>
        <v>Croácia</v>
      </c>
      <c r="E12" s="135" t="s">
        <v>160</v>
      </c>
      <c r="F12" s="146"/>
      <c r="G12" s="144"/>
      <c r="H12" s="143"/>
      <c r="I12" s="65"/>
      <c r="J12" s="111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129" t="str">
        <f t="shared" si="2"/>
        <v/>
      </c>
      <c r="AD12" s="130" t="str">
        <f t="shared" si="3"/>
        <v/>
      </c>
      <c r="AE12" s="131" t="str">
        <f t="shared" si="4"/>
        <v/>
      </c>
    </row>
    <row r="13" spans="1:31" ht="15.75" thickBot="1" x14ac:dyDescent="0.3">
      <c r="A13" s="147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1" t="s">
        <v>160</v>
      </c>
      <c r="F13" s="146"/>
      <c r="G13" s="144"/>
      <c r="H13" s="143"/>
      <c r="I13" s="60"/>
      <c r="J13" s="86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126" t="str">
        <f t="shared" si="2"/>
        <v/>
      </c>
      <c r="AD13" s="128" t="str">
        <f t="shared" si="3"/>
        <v/>
      </c>
      <c r="AE13" s="127" t="str">
        <f t="shared" si="4"/>
        <v/>
      </c>
    </row>
    <row r="14" spans="1:31" ht="15.75" thickBot="1" x14ac:dyDescent="0.3">
      <c r="A14" s="148"/>
      <c r="B14" s="119" t="s">
        <v>156</v>
      </c>
      <c r="C14" s="120" t="str">
        <f t="shared" si="0"/>
        <v>Suíça</v>
      </c>
      <c r="D14" s="120" t="str">
        <f t="shared" si="1"/>
        <v>Argélia</v>
      </c>
      <c r="E14" s="121" t="s">
        <v>160</v>
      </c>
      <c r="F14" s="146"/>
      <c r="G14" s="144"/>
      <c r="H14" s="142"/>
      <c r="I14" s="96"/>
      <c r="J14" s="115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138" t="str">
        <f t="shared" si="2"/>
        <v/>
      </c>
      <c r="AD14" s="139" t="str">
        <f t="shared" si="3"/>
        <v/>
      </c>
      <c r="AE14" s="140" t="str">
        <f t="shared" si="4"/>
        <v/>
      </c>
    </row>
    <row r="15" spans="1:31" ht="15.75" thickBot="1" x14ac:dyDescent="0.3">
      <c r="A15" s="147">
        <v>46206</v>
      </c>
      <c r="B15" s="118" t="s">
        <v>157</v>
      </c>
      <c r="C15" s="36" t="str">
        <f t="shared" si="0"/>
        <v>Colômbia</v>
      </c>
      <c r="D15" s="36" t="str">
        <f t="shared" si="1"/>
        <v>Gana</v>
      </c>
      <c r="E15" s="135" t="s">
        <v>160</v>
      </c>
      <c r="F15" s="146"/>
      <c r="G15" s="144"/>
      <c r="H15" s="143"/>
      <c r="I15" s="65"/>
      <c r="J15" s="111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129" t="str">
        <f t="shared" si="2"/>
        <v/>
      </c>
      <c r="AD15" s="130" t="str">
        <f t="shared" si="3"/>
        <v/>
      </c>
      <c r="AE15" s="131" t="str">
        <f t="shared" si="4"/>
        <v/>
      </c>
    </row>
    <row r="16" spans="1:31" ht="15.75" thickBot="1" x14ac:dyDescent="0.3">
      <c r="A16" s="147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1" t="s">
        <v>160</v>
      </c>
      <c r="F16" s="146"/>
      <c r="G16" s="144"/>
      <c r="H16" s="143"/>
      <c r="I16" s="60"/>
      <c r="J16" s="86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126" t="str">
        <f t="shared" si="2"/>
        <v/>
      </c>
      <c r="AD16" s="128" t="str">
        <f t="shared" si="3"/>
        <v/>
      </c>
      <c r="AE16" s="127" t="str">
        <f t="shared" si="4"/>
        <v/>
      </c>
    </row>
    <row r="17" spans="1:31" ht="15.75" thickBot="1" x14ac:dyDescent="0.3">
      <c r="A17" s="148"/>
      <c r="B17" s="119" t="s">
        <v>159</v>
      </c>
      <c r="C17" s="120" t="str">
        <f t="shared" si="0"/>
        <v>Austrália</v>
      </c>
      <c r="D17" s="120" t="str">
        <f t="shared" si="1"/>
        <v>Egito</v>
      </c>
      <c r="E17" s="121" t="s">
        <v>160</v>
      </c>
      <c r="F17" s="146"/>
      <c r="G17" s="144"/>
      <c r="H17" s="142"/>
      <c r="I17" s="96"/>
      <c r="J17" s="115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138" t="str">
        <f t="shared" si="2"/>
        <v/>
      </c>
      <c r="AD17" s="139" t="str">
        <f t="shared" si="3"/>
        <v/>
      </c>
      <c r="AE17" s="140" t="str">
        <f t="shared" si="4"/>
        <v/>
      </c>
    </row>
    <row r="18" spans="1:31" ht="15.75" thickBot="1" x14ac:dyDescent="0.3">
      <c r="H18" s="124" t="s">
        <v>128</v>
      </c>
      <c r="I18" s="123" cm="1">
        <f t="array" ref="I18">SUMPRODUCT(--(UPPER(I2:I17)=$AE$2:$AE$17),--($AE$2:$AE$17&lt;&gt;""))+ORGANIZAÇÃO!G74</f>
        <v>49</v>
      </c>
      <c r="J18" s="92" cm="1">
        <f t="array" ref="J18">SUMPRODUCT(--(UPPER(J2:J17)=$AE$2:$AE$17),--($AE$2:$AE$17&lt;&gt;""))+ORGANIZAÇÃO!H74</f>
        <v>46</v>
      </c>
      <c r="K18" s="92" cm="1">
        <f t="array" ref="K18">SUMPRODUCT(--(UPPER(K2:K17)=$AE$2:$AE$17),--($AE$2:$AE$17&lt;&gt;""))+ORGANIZAÇÃO!I74</f>
        <v>48</v>
      </c>
      <c r="L18" s="92" cm="1">
        <f t="array" ref="L18">SUMPRODUCT(--(UPPER(L2:L17)=$AE$2:$AE$17),--($AE$2:$AE$17&lt;&gt;""))+ORGANIZAÇÃO!J74</f>
        <v>50</v>
      </c>
      <c r="M18" s="92" cm="1">
        <f t="array" ref="M18">SUMPRODUCT(--(UPPER(M2:M17)=$AE$2:$AE$17),--($AE$2:$AE$17&lt;&gt;""))+ORGANIZAÇÃO!K74</f>
        <v>46</v>
      </c>
      <c r="N18" s="92" cm="1">
        <f t="array" ref="N18">SUMPRODUCT(--(UPPER(N2:N17)=$AE$2:$AE$17),--($AE$2:$AE$17&lt;&gt;""))+ORGANIZAÇÃO!L74</f>
        <v>46</v>
      </c>
      <c r="O18" s="92" cm="1">
        <f t="array" ref="O18">SUMPRODUCT(--(UPPER(O2:O17)=$AE$2:$AE$17),--($AE$2:$AE$17&lt;&gt;""))+ORGANIZAÇÃO!M74</f>
        <v>50</v>
      </c>
      <c r="P18" s="92" cm="1">
        <f t="array" ref="P18">SUMPRODUCT(--(UPPER(P2:P17)=$AE$2:$AE$17),--($AE$2:$AE$17&lt;&gt;""))+ORGANIZAÇÃO!N74</f>
        <v>53</v>
      </c>
      <c r="Q18" s="92" cm="1">
        <f t="array" ref="Q18">SUMPRODUCT(--(UPPER(Q2:Q17)=$AE$2:$AE$17),--($AE$2:$AE$17&lt;&gt;""))+ORGANIZAÇÃO!O74</f>
        <v>43</v>
      </c>
      <c r="R18" s="92" cm="1">
        <f t="array" ref="R18">SUMPRODUCT(--(UPPER(R2:R17)=$AE$2:$AE$17),--($AE$2:$AE$17&lt;&gt;""))+ORGANIZAÇÃO!P74</f>
        <v>47</v>
      </c>
      <c r="S18" s="92" cm="1">
        <f t="array" ref="S18">SUMPRODUCT(--(UPPER(S2:S17)=$AE$2:$AE$17),--($AE$2:$AE$17&lt;&gt;""))+ORGANIZAÇÃO!Q74</f>
        <v>45</v>
      </c>
      <c r="T18" s="92" cm="1">
        <f t="array" ref="T18">SUMPRODUCT(--(UPPER(T2:T17)=$AE$2:$AE$17),--($AE$2:$AE$17&lt;&gt;""))+ORGANIZAÇÃO!R74</f>
        <v>40</v>
      </c>
      <c r="U18" s="92" cm="1">
        <f t="array" ref="U18">SUMPRODUCT(--(UPPER(U2:U17)=$AE$2:$AE$17),--($AE$2:$AE$17&lt;&gt;""))+ORGANIZAÇÃO!S74</f>
        <v>40</v>
      </c>
      <c r="V18" s="92" cm="1">
        <f t="array" ref="V18">SUMPRODUCT(--(UPPER(V2:V17)=$AE$2:$AE$17),--($AE$2:$AE$17&lt;&gt;""))+ORGANIZAÇÃO!T74</f>
        <v>42</v>
      </c>
      <c r="W18" s="92" cm="1">
        <f t="array" ref="W18">SUMPRODUCT(--(UPPER(W2:W17)=$AE$2:$AE$17),--($AE$2:$AE$17&lt;&gt;""))+ORGANIZAÇÃO!U74</f>
        <v>47</v>
      </c>
      <c r="X18" s="92" cm="1">
        <f t="array" ref="X18">SUMPRODUCT(--(UPPER(X2:X17)=$AE$2:$AE$17),--($AE$2:$AE$17&lt;&gt;""))+ORGANIZAÇÃO!V74</f>
        <v>43</v>
      </c>
      <c r="Y18" s="92" cm="1">
        <f t="array" ref="Y18">SUMPRODUCT(--(UPPER(Y2:Y17)=$AE$2:$AE$17),--($AE$2:$AE$17&lt;&gt;""))+ORGANIZAÇÃO!W74</f>
        <v>44</v>
      </c>
      <c r="Z18" s="92" cm="1">
        <f t="array" ref="Z18">SUMPRODUCT(--(UPPER(Z2:Z17)=$AE$2:$AE$17),--($AE$2:$AE$17&lt;&gt;""))+ORGANIZAÇÃO!X74</f>
        <v>43</v>
      </c>
      <c r="AA18" s="92" cm="1">
        <f t="array" ref="AA18">SUMPRODUCT(--(UPPER(AA2:AA17)=$AE$2:$AE$17),--($AE$2:$AE$17&lt;&gt;""))+ORGANIZAÇÃO!Y74</f>
        <v>45</v>
      </c>
      <c r="AB18" s="92" cm="1">
        <f t="array" ref="AB18">SUMPRODUCT(--(UPPER(AB2:AB17)=$AE$2:$AE$17),--($AE$2:$AE$17&lt;&gt;""))+ORGANIZAÇÃO!Z74</f>
        <v>37</v>
      </c>
    </row>
  </sheetData>
  <mergeCells count="5">
    <mergeCell ref="A15:A17"/>
    <mergeCell ref="A3:A5"/>
    <mergeCell ref="A6:A8"/>
    <mergeCell ref="A9:A11"/>
    <mergeCell ref="A12:A14"/>
  </mergeCells>
  <conditionalFormatting sqref="I2:AB17">
    <cfRule type="expression" dxfId="1" priority="1">
      <formula>AND($AE2&lt;&gt;"",I2=$AE2)</formula>
    </cfRule>
    <cfRule type="expression" dxfId="0" priority="2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2026-07-01T21:35:40Z</dcterms:modified>
  <cp:category/>
  <cp:contentStatus/>
</cp:coreProperties>
</file>