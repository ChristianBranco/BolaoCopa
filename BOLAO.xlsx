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93D7B2DF-DA1F-4558-BBCC-A45C22995E1A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17" i="7" l="1"/>
  <c r="AC17" i="7"/>
  <c r="AE17" i="7"/>
  <c r="AD16" i="7"/>
  <c r="AC16" i="7"/>
  <c r="AD15" i="7"/>
  <c r="AC15" i="7"/>
  <c r="AE15" i="7"/>
  <c r="AD14" i="7"/>
  <c r="AC14" i="7"/>
  <c r="AE14" i="7" s="1"/>
  <c r="AD13" i="7"/>
  <c r="AE13" i="7" s="1"/>
  <c r="AC13" i="7"/>
  <c r="AD12" i="7"/>
  <c r="AC12" i="7"/>
  <c r="AE12" i="7" s="1"/>
  <c r="AD11" i="7"/>
  <c r="AC11" i="7"/>
  <c r="AE11" i="7" s="1"/>
  <c r="AD10" i="7"/>
  <c r="AC10" i="7"/>
  <c r="AE10" i="7" s="1"/>
  <c r="AD9" i="7"/>
  <c r="AC9" i="7"/>
  <c r="AE9" i="7" s="1"/>
  <c r="AD8" i="7"/>
  <c r="AC8" i="7"/>
  <c r="AE8" i="7" s="1"/>
  <c r="AD7" i="7"/>
  <c r="AC7" i="7"/>
  <c r="AE7" i="7" s="1"/>
  <c r="AD6" i="7"/>
  <c r="AC6" i="7"/>
  <c r="AE6" i="7" s="1"/>
  <c r="AD5" i="7"/>
  <c r="AC5" i="7"/>
  <c r="AD4" i="7"/>
  <c r="AC4" i="7"/>
  <c r="AD3" i="7"/>
  <c r="AC3" i="7"/>
  <c r="AE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D2" i="7"/>
  <c r="AC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E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E4" i="7"/>
  <c r="AE2" i="7"/>
  <c r="AE5" i="7"/>
  <c r="AB18" i="7" l="1" a="1"/>
  <c r="AB18" i="7" s="1"/>
  <c r="Q18" i="7" a="1"/>
  <c r="Q18" i="7" s="1"/>
  <c r="L18" i="7" a="1"/>
  <c r="L18" i="7" s="1"/>
  <c r="R18" i="7" a="1"/>
  <c r="R18" i="7" s="1"/>
  <c r="V18" i="7" a="1"/>
  <c r="V18" i="7" s="1"/>
  <c r="N18" i="7" a="1"/>
  <c r="N18" i="7" s="1"/>
  <c r="Z18" i="7" a="1"/>
  <c r="Z18" i="7" s="1"/>
  <c r="Y18" i="7" a="1"/>
  <c r="Y18" i="7" s="1"/>
  <c r="X18" i="7" a="1"/>
  <c r="X18" i="7" s="1"/>
  <c r="AA18" i="7" a="1"/>
  <c r="AA18" i="7" s="1"/>
  <c r="M18" i="7" a="1"/>
  <c r="M18" i="7" s="1"/>
  <c r="W18" i="7" a="1"/>
  <c r="W18" i="7" s="1"/>
  <c r="I18" i="7" a="1"/>
  <c r="I18" i="7" s="1"/>
  <c r="O18" i="7" a="1"/>
  <c r="O18" i="7" s="1"/>
  <c r="T18" i="7" a="1"/>
  <c r="T18" i="7" s="1"/>
  <c r="K18" i="7" a="1"/>
  <c r="K18" i="7" s="1"/>
  <c r="P18" i="7" a="1"/>
  <c r="P18" i="7" s="1"/>
  <c r="S18" i="7" a="1"/>
  <c r="S18" i="7" s="1"/>
  <c r="U18" i="7" a="1"/>
  <c r="U18" i="7" s="1"/>
  <c r="J18" i="7" a="1"/>
  <c r="J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<sst xmlns="http://schemas.openxmlformats.org/spreadsheetml/2006/main" count="1983" uniqueCount="165">
  <si>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</si>
  <si>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</si>
  <si>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</si>
  <si>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</si>
  <si>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</si>
  <si>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</si>
  <si>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</si>
  <si>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</si>
  <si>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</si>
  <si>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</si>
  <si>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</si>
  <si>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</si>
  <si>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</si>
  <si>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</si>
  <si>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</si>
  <si>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</si>
  <si>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</si>
  <si>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</si>
  <si>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</si>
  <si>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</si>
  <si>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</si>
  <si>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</si>
  <si>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</si>
  <si>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</si>
  <si>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</si>
  <si>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</si>
  <si>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</si>
  <si>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</si>
  <si>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</si>
  <si>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</si>
  <si>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</si>
  <si>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</si>
  <si>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</si>
  <si>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</si>
  <si>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</si>
  <si>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</si>
  <si>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</si>
  <si>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</si>
  <si>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</si>
  <si>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</si>
  <si>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</si>
  <si>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</si>
  <si>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</si>
  <si>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</si>
  <si>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</si>
  <si>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</si>
  <si>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</si>
  <si>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</si>
  <si>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</si>
  <si>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</si>
  <si>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</si>
  <si>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</si>
  <si>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</si>
  <si>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</si>
  <si>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</si>
  <si>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</si>
  <si>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</si>
  <si>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</si>
  <si>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</si>
  <si>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</si>
  <si>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</si>
  <si>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</si>
  <si>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</si>
  <si>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</si>
  <si>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</si>
  <si>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</si>
  <si>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</si>
  <si>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</si>
  <si>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</si>
  <si>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</si>
  <si>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</si>
  <si>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</si>
  <si>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</si>
  <si>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</si>
  <si>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</si>
  <si>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</si>
  <si>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</si>
  <si>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</si>
  <si>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</si>
  <si>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</si>
  <si>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</si>
  <si>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</si>
  <si>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</si>
  <si>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</si>
  <si>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</si>
  <si>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</si>
  <si>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</si>
  <si>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</si>
  <si>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</si>
  <si>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</si>
  <si>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</si>
  <si>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</si>
  <si>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</si>
  <si>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</si>
  <si>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</si>
  <si>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</si>
  <si>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</si>
  <si>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</si>
  <si>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</si>
  <si>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</si>
  <si>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</si>
  <si>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</si>
  <si>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</si>
  <si>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</si>
  <si>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</si>
  <si>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</si>
  <si>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</si>
  <si>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</si>
  <si>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</si>
  <si>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</si>
  <si>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</si>
  <si>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</si>
  <si>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</si>
  <si>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</si>
  <si>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</si>
  <si>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</si>
  <si>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</si>
  <si>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</si>
  <si>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</si>
  <si>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</si>
  <si>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</si>
  <si>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</si>
  <si>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</si>
  <si>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</si>
  <si>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</si>
  <si>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</si>
  <si>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</si>
  <si>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</si>
  <si>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</si>
  <si>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</si>
  <si>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</si>
  <si>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</si>
  <si>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</si>
  <si>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</si>
  <si>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</si>
  <si>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</si>
  <si>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</si>
  <si>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</si>
  <si>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</si>
  <si>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</si>
  <si>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</si>
  <si>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</si>
  <si>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</si>
  <si>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</si>
  <si>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</si>
  <si>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</si>
  <si>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</si>
  <si>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</si>
  <si>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</si>
  <si>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</si>
  <si>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</si>
  <si>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</si>
  <si>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</si>
  <si>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</si>
  <si>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</si>
  <si>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</si>
  <si>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</si>
  <si>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</si>
  <si>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</si>
  <si>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</si>
  <si>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</si>
  <si>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</si>
  <si>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Penalti</t>
  </si>
  <si>
    <t>Prorrogação</t>
  </si>
  <si>
    <t>3X0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</si>
</sst>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Alignment="1">
      <alignment horizontal="center" vertical="center" textRotation="255"/>
    </xf>
    <xf numFmtId="0" fontId="18" fillId="5" borderId="68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5" borderId="6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9" t="s">
        <v>0</v>
      </c>
      <c r="B1" s="149"/>
      <c r="C1" s="13"/>
      <c r="D1" s="13"/>
      <c r="E1" s="13"/>
      <c r="F1" s="13"/>
      <c r="G1" s="13"/>
      <c r="H1" s="13"/>
    </row>
    <row r="2" spans="1:8" ht="15" customHeight="1" x14ac:dyDescent="0.25">
      <c r="A2" s="149"/>
      <c r="B2" s="149"/>
      <c r="C2" s="13"/>
      <c r="D2" s="13"/>
      <c r="E2" s="13"/>
      <c r="F2" s="13"/>
      <c r="G2" s="13"/>
      <c r="H2" s="13"/>
    </row>
    <row r="3" spans="1:8" ht="15" customHeight="1" x14ac:dyDescent="0.25">
      <c r="A3" s="149"/>
      <c r="B3" s="149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64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71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65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72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66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73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65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4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66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56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65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57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67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58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8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59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9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52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65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53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67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54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8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55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9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56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65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57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67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58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8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59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9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52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65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53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67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54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8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55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9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56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65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57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67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58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8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59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9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52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65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53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67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54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8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55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9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56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65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57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67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58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8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59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9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52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65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53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67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54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8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55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9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56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65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57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67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58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8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59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9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52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65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53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67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54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8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55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9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56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65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57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67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58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8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59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9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52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65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53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67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54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8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54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8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54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8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55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9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56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65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57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67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58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8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58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8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58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8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59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9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52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65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53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67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54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8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54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8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54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8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55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9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60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65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61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67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62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8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62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8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62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8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63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70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E18"/>
  <sheetViews>
    <sheetView tabSelected="1" workbookViewId="0">
      <pane ySplit="1" topLeftCell="A2" activePane="bottomLeft" state="frozen"/>
      <selection activeCell="S1" sqref="S1"/>
      <selection pane="bottomLeft" activeCell="E15" sqref="E15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thickBot="1" x14ac:dyDescent="0.3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45" t="s">
        <v>162</v>
      </c>
      <c r="G1" s="141" t="s">
        <v>163</v>
      </c>
      <c r="H1" s="125"/>
      <c r="I1" s="91" t="s">
        <v>3</v>
      </c>
      <c r="J1" s="132" t="s">
        <v>5</v>
      </c>
      <c r="K1" s="91" t="s">
        <v>6</v>
      </c>
      <c r="L1" s="91" t="s">
        <v>35</v>
      </c>
      <c r="M1" s="91" t="s">
        <v>7</v>
      </c>
      <c r="N1" s="91" t="s">
        <v>36</v>
      </c>
      <c r="O1" s="91" t="s">
        <v>8</v>
      </c>
      <c r="P1" s="91" t="s">
        <v>9</v>
      </c>
      <c r="Q1" s="91" t="s">
        <v>18</v>
      </c>
      <c r="R1" s="91" t="s">
        <v>10</v>
      </c>
      <c r="S1" s="91" t="s">
        <v>37</v>
      </c>
      <c r="T1" s="91" t="s">
        <v>11</v>
      </c>
      <c r="U1" s="91" t="s">
        <v>12</v>
      </c>
      <c r="V1" s="91" t="s">
        <v>13</v>
      </c>
      <c r="W1" s="91" t="s">
        <v>38</v>
      </c>
      <c r="X1" s="91" t="s">
        <v>14</v>
      </c>
      <c r="Y1" s="91" t="s">
        <v>15</v>
      </c>
      <c r="Z1" s="91" t="s">
        <v>16</v>
      </c>
      <c r="AA1" s="91" t="s">
        <v>17</v>
      </c>
      <c r="AB1" s="91" t="s">
        <v>19</v>
      </c>
      <c r="AC1" s="133" t="s">
        <v>39</v>
      </c>
      <c r="AD1" s="134" t="s">
        <v>40</v>
      </c>
      <c r="AE1" s="69" t="s">
        <v>41</v>
      </c>
    </row>
    <row r="2" spans="1:31" ht="15.75" thickBot="1" x14ac:dyDescent="0.3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46"/>
      <c r="G2" s="144"/>
      <c r="H2" s="142"/>
      <c r="I2" s="136" t="s">
        <v>45</v>
      </c>
      <c r="J2" s="137" t="s">
        <v>44</v>
      </c>
      <c r="K2" s="136" t="s">
        <v>45</v>
      </c>
      <c r="L2" s="136" t="s">
        <v>44</v>
      </c>
      <c r="M2" s="136" t="s">
        <v>46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45</v>
      </c>
      <c r="S2" s="136" t="s">
        <v>44</v>
      </c>
      <c r="T2" s="136"/>
      <c r="U2" s="136" t="s">
        <v>45</v>
      </c>
      <c r="V2" s="136" t="s">
        <v>45</v>
      </c>
      <c r="W2" s="136" t="s">
        <v>45</v>
      </c>
      <c r="X2" s="136" t="s">
        <v>45</v>
      </c>
      <c r="Y2" s="136"/>
      <c r="Z2" s="136" t="s">
        <v>44</v>
      </c>
      <c r="AA2" s="136" t="s">
        <v>45</v>
      </c>
      <c r="AB2" s="136"/>
      <c r="AC2" s="66">
        <f>IFERROR(VALUE(TRIM(LEFT($E2,SEARCH("x",$E2)-1))),"")</f>
        <v>0</v>
      </c>
      <c r="AD2" s="73">
        <f>IFERROR(VALUE(TRIM(MID($E2,SEARCH("x",$E2)+1,10))),"")</f>
        <v>1</v>
      </c>
      <c r="AE2" s="71" t="str">
        <f>IF(OR($AC2="",$AD2=""),"",IF($AC2&gt;$AD2,"A",IF($AC2&lt;$AD2,"B","E")))</f>
        <v>B</v>
      </c>
    </row>
    <row r="3" spans="1:31" ht="15.75" thickBot="1" x14ac:dyDescent="0.3">
      <c r="A3" s="147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46" t="s">
        <v>45</v>
      </c>
      <c r="G3" s="144"/>
      <c r="H3" s="143"/>
      <c r="I3" s="65" t="s">
        <v>44</v>
      </c>
      <c r="J3" s="111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44</v>
      </c>
      <c r="Z3" s="65" t="s">
        <v>45</v>
      </c>
      <c r="AA3" s="65" t="s">
        <v>44</v>
      </c>
      <c r="AB3" s="65" t="s">
        <v>44</v>
      </c>
      <c r="AC3" s="129">
        <f t="shared" ref="AC3:AC17" si="2">IFERROR(VALUE(TRIM(LEFT($E3,SEARCH("x",$E3)-1))),"")</f>
        <v>1</v>
      </c>
      <c r="AD3" s="130">
        <f t="shared" ref="AD3:AD17" si="3">IFERROR(VALUE(TRIM(MID($E3,SEARCH("x",$E3)+1,10))),"")</f>
        <v>1</v>
      </c>
      <c r="AE3" s="131" t="str">
        <f t="shared" ref="AE3:AE17" si="4">IF(OR($AC3="",$AD3=""),"",IF($AC3&gt;$AD3,"A",IF($AC3&lt;$AD3,"B","E")))</f>
        <v>E</v>
      </c>
    </row>
    <row r="4" spans="1:31" ht="15.75" thickBot="1" x14ac:dyDescent="0.3">
      <c r="A4" s="147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50</v>
      </c>
      <c r="F4" s="146" t="s">
        <v>45</v>
      </c>
      <c r="G4" s="144"/>
      <c r="H4" s="143"/>
      <c r="I4" s="60" t="s">
        <v>44</v>
      </c>
      <c r="J4" s="86" t="s">
        <v>45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44</v>
      </c>
      <c r="Q4" s="60" t="s">
        <v>46</v>
      </c>
      <c r="R4" s="60" t="s">
        <v>45</v>
      </c>
      <c r="S4" s="60" t="s">
        <v>45</v>
      </c>
      <c r="T4" s="60" t="s">
        <v>45</v>
      </c>
      <c r="U4" s="60" t="s">
        <v>44</v>
      </c>
      <c r="V4" s="60" t="s">
        <v>46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60" t="s">
        <v>44</v>
      </c>
      <c r="AC4" s="126">
        <f t="shared" si="2"/>
        <v>1</v>
      </c>
      <c r="AD4" s="128">
        <f t="shared" si="3"/>
        <v>1</v>
      </c>
      <c r="AE4" s="127" t="str">
        <f t="shared" si="4"/>
        <v>E</v>
      </c>
    </row>
    <row r="5" spans="1:31" ht="15.75" thickBot="1" x14ac:dyDescent="0.3">
      <c r="A5" s="148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46"/>
      <c r="G5" s="144"/>
      <c r="H5" s="142"/>
      <c r="I5" s="96" t="s">
        <v>44</v>
      </c>
      <c r="J5" s="115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96" t="s">
        <v>44</v>
      </c>
      <c r="AC5" s="138">
        <f t="shared" si="2"/>
        <v>2</v>
      </c>
      <c r="AD5" s="139">
        <f t="shared" si="3"/>
        <v>1</v>
      </c>
      <c r="AE5" s="140" t="str">
        <f t="shared" si="4"/>
        <v>A</v>
      </c>
    </row>
    <row r="6" spans="1:31" ht="15.75" thickBot="1" x14ac:dyDescent="0.3">
      <c r="A6" s="147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164</v>
      </c>
      <c r="F6" s="146"/>
      <c r="G6" s="144"/>
      <c r="H6" s="143"/>
      <c r="I6" s="65" t="s">
        <v>44</v>
      </c>
      <c r="J6" s="111" t="s">
        <v>44</v>
      </c>
      <c r="K6" s="65" t="s">
        <v>44</v>
      </c>
      <c r="L6" s="65" t="s">
        <v>44</v>
      </c>
      <c r="M6" s="65" t="s">
        <v>44</v>
      </c>
      <c r="N6" s="65" t="s">
        <v>44</v>
      </c>
      <c r="O6" s="65" t="s">
        <v>44</v>
      </c>
      <c r="P6" s="65" t="s">
        <v>44</v>
      </c>
      <c r="Q6" s="65" t="s">
        <v>44</v>
      </c>
      <c r="R6" s="65" t="s">
        <v>44</v>
      </c>
      <c r="S6" s="65" t="s">
        <v>44</v>
      </c>
      <c r="T6" s="65" t="s">
        <v>44</v>
      </c>
      <c r="U6" s="65" t="s">
        <v>44</v>
      </c>
      <c r="V6" s="65" t="s">
        <v>44</v>
      </c>
      <c r="W6" s="65" t="s">
        <v>44</v>
      </c>
      <c r="X6" s="65" t="s">
        <v>44</v>
      </c>
      <c r="Y6" s="65" t="s">
        <v>44</v>
      </c>
      <c r="Z6" s="65" t="s">
        <v>44</v>
      </c>
      <c r="AA6" s="65" t="s">
        <v>44</v>
      </c>
      <c r="AB6" s="65" t="s">
        <v>44</v>
      </c>
      <c r="AC6" s="129">
        <f t="shared" si="2"/>
        <v>3</v>
      </c>
      <c r="AD6" s="130">
        <f t="shared" si="3"/>
        <v>0</v>
      </c>
      <c r="AE6" s="131" t="str">
        <f t="shared" si="4"/>
        <v>A</v>
      </c>
    </row>
    <row r="7" spans="1:31" ht="15.75" thickBot="1" x14ac:dyDescent="0.3">
      <c r="A7" s="147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137</v>
      </c>
      <c r="F7" s="146"/>
      <c r="G7" s="144"/>
      <c r="H7" s="143"/>
      <c r="I7" s="60" t="s">
        <v>45</v>
      </c>
      <c r="J7" s="86" t="s">
        <v>44</v>
      </c>
      <c r="K7" s="60" t="s">
        <v>45</v>
      </c>
      <c r="L7" s="60" t="s">
        <v>45</v>
      </c>
      <c r="M7" s="60" t="s">
        <v>45</v>
      </c>
      <c r="N7" s="60" t="s">
        <v>45</v>
      </c>
      <c r="O7" s="60" t="s">
        <v>45</v>
      </c>
      <c r="P7" s="60" t="s">
        <v>45</v>
      </c>
      <c r="Q7" s="60" t="s">
        <v>44</v>
      </c>
      <c r="R7" s="60" t="s">
        <v>45</v>
      </c>
      <c r="S7" s="60" t="s">
        <v>45</v>
      </c>
      <c r="T7" s="60" t="s">
        <v>46</v>
      </c>
      <c r="U7" s="60" t="s">
        <v>45</v>
      </c>
      <c r="V7" s="60" t="s">
        <v>46</v>
      </c>
      <c r="W7" s="60" t="s">
        <v>46</v>
      </c>
      <c r="X7" s="60" t="s">
        <v>44</v>
      </c>
      <c r="Y7" s="60" t="s">
        <v>46</v>
      </c>
      <c r="Z7" s="60" t="s">
        <v>44</v>
      </c>
      <c r="AA7" s="60" t="s">
        <v>45</v>
      </c>
      <c r="AB7" s="60" t="s">
        <v>45</v>
      </c>
      <c r="AC7" s="126">
        <f t="shared" si="2"/>
        <v>1</v>
      </c>
      <c r="AD7" s="128">
        <f t="shared" si="3"/>
        <v>2</v>
      </c>
      <c r="AE7" s="127" t="str">
        <f t="shared" si="4"/>
        <v>B</v>
      </c>
    </row>
    <row r="8" spans="1:31" ht="15.75" thickBot="1" x14ac:dyDescent="0.3">
      <c r="A8" s="148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43</v>
      </c>
      <c r="F8" s="146"/>
      <c r="G8" s="144"/>
      <c r="H8" s="142"/>
      <c r="I8" s="96" t="s">
        <v>44</v>
      </c>
      <c r="J8" s="115" t="s">
        <v>44</v>
      </c>
      <c r="K8" s="96" t="s">
        <v>44</v>
      </c>
      <c r="L8" s="96" t="s">
        <v>44</v>
      </c>
      <c r="M8" s="96" t="s">
        <v>44</v>
      </c>
      <c r="N8" s="96" t="s">
        <v>44</v>
      </c>
      <c r="O8" s="96" t="s">
        <v>44</v>
      </c>
      <c r="P8" s="96" t="s">
        <v>44</v>
      </c>
      <c r="Q8" s="96" t="s">
        <v>45</v>
      </c>
      <c r="R8" s="96" t="s">
        <v>45</v>
      </c>
      <c r="S8" s="96" t="s">
        <v>44</v>
      </c>
      <c r="T8" s="96" t="s">
        <v>46</v>
      </c>
      <c r="U8" s="96" t="s">
        <v>45</v>
      </c>
      <c r="V8" s="96" t="s">
        <v>44</v>
      </c>
      <c r="W8" s="96" t="s">
        <v>44</v>
      </c>
      <c r="X8" s="96" t="s">
        <v>44</v>
      </c>
      <c r="Y8" s="96" t="s">
        <v>45</v>
      </c>
      <c r="Z8" s="96" t="s">
        <v>44</v>
      </c>
      <c r="AA8" s="96" t="s">
        <v>44</v>
      </c>
      <c r="AB8" s="96" t="s">
        <v>44</v>
      </c>
      <c r="AC8" s="138">
        <f t="shared" si="2"/>
        <v>2</v>
      </c>
      <c r="AD8" s="139">
        <f t="shared" si="3"/>
        <v>0</v>
      </c>
      <c r="AE8" s="140" t="str">
        <f t="shared" si="4"/>
        <v>A</v>
      </c>
    </row>
    <row r="9" spans="1:31" ht="15.75" thickBot="1" x14ac:dyDescent="0.3">
      <c r="A9" s="147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48</v>
      </c>
      <c r="F9" s="146"/>
      <c r="G9" s="144"/>
      <c r="H9" s="143"/>
      <c r="I9" s="65" t="s">
        <v>44</v>
      </c>
      <c r="J9" s="65" t="s">
        <v>44</v>
      </c>
      <c r="K9" s="65" t="s">
        <v>44</v>
      </c>
      <c r="L9" s="65" t="s">
        <v>44</v>
      </c>
      <c r="M9" s="65" t="s">
        <v>44</v>
      </c>
      <c r="N9" s="65" t="s">
        <v>44</v>
      </c>
      <c r="O9" s="65" t="s">
        <v>44</v>
      </c>
      <c r="P9" s="65" t="s">
        <v>44</v>
      </c>
      <c r="Q9" s="65" t="s">
        <v>44</v>
      </c>
      <c r="R9" s="65" t="s">
        <v>44</v>
      </c>
      <c r="S9" s="65" t="s">
        <v>44</v>
      </c>
      <c r="T9" s="65" t="s">
        <v>44</v>
      </c>
      <c r="U9" s="65" t="s">
        <v>44</v>
      </c>
      <c r="V9" s="65" t="s">
        <v>44</v>
      </c>
      <c r="W9" s="65" t="s">
        <v>44</v>
      </c>
      <c r="X9" s="65" t="s">
        <v>44</v>
      </c>
      <c r="Y9" s="65" t="s">
        <v>44</v>
      </c>
      <c r="Z9" s="65" t="s">
        <v>44</v>
      </c>
      <c r="AA9" s="65" t="s">
        <v>44</v>
      </c>
      <c r="AB9" s="65"/>
      <c r="AC9" s="129">
        <f t="shared" si="2"/>
        <v>2</v>
      </c>
      <c r="AD9" s="130">
        <f t="shared" si="3"/>
        <v>1</v>
      </c>
      <c r="AE9" s="131" t="str">
        <f t="shared" si="4"/>
        <v>A</v>
      </c>
    </row>
    <row r="10" spans="1:31" ht="15.75" thickBot="1" x14ac:dyDescent="0.3">
      <c r="A10" s="147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43</v>
      </c>
      <c r="F10" s="146"/>
      <c r="G10" s="144"/>
      <c r="H10" s="143"/>
      <c r="I10" s="60" t="s">
        <v>44</v>
      </c>
      <c r="J10" s="60" t="s">
        <v>44</v>
      </c>
      <c r="K10" s="60" t="s">
        <v>44</v>
      </c>
      <c r="L10" s="60" t="s">
        <v>44</v>
      </c>
      <c r="M10" s="60" t="s">
        <v>44</v>
      </c>
      <c r="N10" s="60" t="s">
        <v>44</v>
      </c>
      <c r="O10" s="60" t="s">
        <v>44</v>
      </c>
      <c r="P10" s="60" t="s">
        <v>44</v>
      </c>
      <c r="Q10" s="60" t="s">
        <v>44</v>
      </c>
      <c r="R10" s="60" t="s">
        <v>44</v>
      </c>
      <c r="S10" s="60" t="s">
        <v>44</v>
      </c>
      <c r="T10" s="60" t="s">
        <v>44</v>
      </c>
      <c r="U10" s="60" t="s">
        <v>44</v>
      </c>
      <c r="V10" s="60" t="s">
        <v>44</v>
      </c>
      <c r="W10" s="60" t="s">
        <v>44</v>
      </c>
      <c r="X10" s="60" t="s">
        <v>44</v>
      </c>
      <c r="Y10" s="60" t="s">
        <v>44</v>
      </c>
      <c r="Z10" s="60" t="s">
        <v>44</v>
      </c>
      <c r="AA10" s="60" t="s">
        <v>44</v>
      </c>
      <c r="AB10" s="60" t="s">
        <v>44</v>
      </c>
      <c r="AC10" s="126">
        <f t="shared" si="2"/>
        <v>2</v>
      </c>
      <c r="AD10" s="128">
        <f t="shared" si="3"/>
        <v>0</v>
      </c>
      <c r="AE10" s="127" t="str">
        <f t="shared" si="4"/>
        <v>A</v>
      </c>
    </row>
    <row r="11" spans="1:31" ht="15.75" thickBot="1" x14ac:dyDescent="0.3">
      <c r="A11" s="148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63</v>
      </c>
      <c r="F11" s="146"/>
      <c r="G11" s="144" t="s">
        <v>44</v>
      </c>
      <c r="H11" s="142"/>
      <c r="I11" s="96" t="s">
        <v>44</v>
      </c>
      <c r="J11" s="115" t="s">
        <v>45</v>
      </c>
      <c r="K11" s="96" t="s">
        <v>45</v>
      </c>
      <c r="L11" s="96" t="s">
        <v>44</v>
      </c>
      <c r="M11" s="96" t="s">
        <v>44</v>
      </c>
      <c r="N11" s="96" t="s">
        <v>45</v>
      </c>
      <c r="O11" s="96" t="s">
        <v>45</v>
      </c>
      <c r="P11" s="96" t="s">
        <v>44</v>
      </c>
      <c r="Q11" s="96" t="s">
        <v>46</v>
      </c>
      <c r="R11" s="96" t="s">
        <v>45</v>
      </c>
      <c r="S11" s="96" t="s">
        <v>44</v>
      </c>
      <c r="T11" s="96" t="s">
        <v>45</v>
      </c>
      <c r="U11" s="96" t="s">
        <v>45</v>
      </c>
      <c r="V11" s="96" t="s">
        <v>46</v>
      </c>
      <c r="W11" s="96" t="s">
        <v>44</v>
      </c>
      <c r="X11" s="96" t="s">
        <v>45</v>
      </c>
      <c r="Y11" s="96" t="s">
        <v>45</v>
      </c>
      <c r="Z11" s="96" t="s">
        <v>44</v>
      </c>
      <c r="AA11" s="96" t="s">
        <v>45</v>
      </c>
      <c r="AB11" s="96" t="s">
        <v>46</v>
      </c>
      <c r="AC11" s="138">
        <f t="shared" si="2"/>
        <v>2</v>
      </c>
      <c r="AD11" s="139">
        <f t="shared" si="3"/>
        <v>2</v>
      </c>
      <c r="AE11" s="140" t="str">
        <f t="shared" si="4"/>
        <v>E</v>
      </c>
    </row>
    <row r="12" spans="1:31" ht="15.75" thickBot="1" x14ac:dyDescent="0.3">
      <c r="A12" s="147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48</v>
      </c>
      <c r="F12" s="146"/>
      <c r="G12" s="144"/>
      <c r="H12" s="143"/>
      <c r="I12" s="65" t="s">
        <v>44</v>
      </c>
      <c r="J12" s="111" t="s">
        <v>44</v>
      </c>
      <c r="K12" s="65" t="s">
        <v>46</v>
      </c>
      <c r="L12" s="65" t="s">
        <v>44</v>
      </c>
      <c r="M12" s="65" t="s">
        <v>46</v>
      </c>
      <c r="N12" s="65" t="s">
        <v>44</v>
      </c>
      <c r="O12" s="65" t="s">
        <v>44</v>
      </c>
      <c r="P12" s="65" t="s">
        <v>44</v>
      </c>
      <c r="Q12" s="65" t="s">
        <v>45</v>
      </c>
      <c r="R12" s="65" t="s">
        <v>44</v>
      </c>
      <c r="S12" s="65" t="s">
        <v>46</v>
      </c>
      <c r="T12" s="65" t="s">
        <v>46</v>
      </c>
      <c r="U12" s="65" t="s">
        <v>44</v>
      </c>
      <c r="V12" s="65" t="s">
        <v>45</v>
      </c>
      <c r="W12" s="65" t="s">
        <v>44</v>
      </c>
      <c r="X12" s="65" t="s">
        <v>44</v>
      </c>
      <c r="Y12" s="65" t="s">
        <v>45</v>
      </c>
      <c r="Z12" s="65" t="s">
        <v>44</v>
      </c>
      <c r="AA12" s="65" t="s">
        <v>46</v>
      </c>
      <c r="AB12" s="65" t="s">
        <v>45</v>
      </c>
      <c r="AC12" s="129">
        <f t="shared" si="2"/>
        <v>2</v>
      </c>
      <c r="AD12" s="130">
        <f t="shared" si="3"/>
        <v>1</v>
      </c>
      <c r="AE12" s="131" t="str">
        <f t="shared" si="4"/>
        <v>A</v>
      </c>
    </row>
    <row r="13" spans="1:31" ht="15.75" thickBot="1" x14ac:dyDescent="0.3">
      <c r="A13" s="147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130</v>
      </c>
      <c r="F13" s="146"/>
      <c r="G13" s="144"/>
      <c r="H13" s="143"/>
      <c r="I13" s="60" t="s">
        <v>44</v>
      </c>
      <c r="J13" s="60" t="s">
        <v>44</v>
      </c>
      <c r="K13" s="60" t="s">
        <v>44</v>
      </c>
      <c r="L13" s="60" t="s">
        <v>44</v>
      </c>
      <c r="M13" s="60" t="s">
        <v>44</v>
      </c>
      <c r="N13" s="60" t="s">
        <v>44</v>
      </c>
      <c r="O13" s="60" t="s">
        <v>44</v>
      </c>
      <c r="P13" s="60" t="s">
        <v>44</v>
      </c>
      <c r="Q13" s="60" t="s">
        <v>44</v>
      </c>
      <c r="R13" s="60" t="s">
        <v>44</v>
      </c>
      <c r="S13" s="60" t="s">
        <v>44</v>
      </c>
      <c r="T13" s="60" t="s">
        <v>44</v>
      </c>
      <c r="U13" s="60" t="s">
        <v>44</v>
      </c>
      <c r="V13" s="60" t="s">
        <v>44</v>
      </c>
      <c r="W13" s="60" t="s">
        <v>44</v>
      </c>
      <c r="X13" s="60" t="s">
        <v>44</v>
      </c>
      <c r="Y13" s="60" t="s">
        <v>44</v>
      </c>
      <c r="Z13" s="60" t="s">
        <v>44</v>
      </c>
      <c r="AA13" s="60" t="s">
        <v>44</v>
      </c>
      <c r="AB13" s="60" t="s">
        <v>44</v>
      </c>
      <c r="AC13" s="126">
        <f t="shared" si="2"/>
        <v>3</v>
      </c>
      <c r="AD13" s="128">
        <f t="shared" si="3"/>
        <v>0</v>
      </c>
      <c r="AE13" s="127" t="str">
        <f t="shared" si="4"/>
        <v>A</v>
      </c>
    </row>
    <row r="14" spans="1:31" ht="15.75" thickBot="1" x14ac:dyDescent="0.3">
      <c r="A14" s="148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43</v>
      </c>
      <c r="F14" s="146"/>
      <c r="G14" s="144"/>
      <c r="H14" s="142"/>
      <c r="I14" s="96" t="s">
        <v>44</v>
      </c>
      <c r="J14" s="115" t="s">
        <v>44</v>
      </c>
      <c r="K14" s="96" t="s">
        <v>44</v>
      </c>
      <c r="L14" s="96" t="s">
        <v>46</v>
      </c>
      <c r="M14" s="96" t="s">
        <v>44</v>
      </c>
      <c r="N14" s="96" t="s">
        <v>46</v>
      </c>
      <c r="O14" s="96" t="s">
        <v>44</v>
      </c>
      <c r="P14" s="96" t="s">
        <v>44</v>
      </c>
      <c r="Q14" s="96" t="s">
        <v>44</v>
      </c>
      <c r="R14" s="96" t="s">
        <v>46</v>
      </c>
      <c r="S14" s="96" t="s">
        <v>46</v>
      </c>
      <c r="T14" s="96" t="s">
        <v>46</v>
      </c>
      <c r="U14" s="96" t="s">
        <v>44</v>
      </c>
      <c r="V14" s="96" t="s">
        <v>44</v>
      </c>
      <c r="W14" s="96" t="s">
        <v>44</v>
      </c>
      <c r="X14" s="96" t="s">
        <v>44</v>
      </c>
      <c r="Y14" s="96" t="s">
        <v>46</v>
      </c>
      <c r="Z14" s="96" t="s">
        <v>44</v>
      </c>
      <c r="AA14" s="96" t="s">
        <v>44</v>
      </c>
      <c r="AB14" s="96" t="s">
        <v>45</v>
      </c>
      <c r="AC14" s="138">
        <f t="shared" si="2"/>
        <v>2</v>
      </c>
      <c r="AD14" s="139">
        <f t="shared" si="3"/>
        <v>0</v>
      </c>
      <c r="AE14" s="140" t="str">
        <f t="shared" si="4"/>
        <v>A</v>
      </c>
    </row>
    <row r="15" spans="1:31" ht="15.75" thickBot="1" x14ac:dyDescent="0.3">
      <c r="A15" s="147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46"/>
      <c r="G15" s="144"/>
      <c r="H15" s="143"/>
      <c r="I15" s="65"/>
      <c r="J15" s="111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129" t="str">
        <f t="shared" si="2"/>
        <v/>
      </c>
      <c r="AD15" s="130" t="str">
        <f t="shared" si="3"/>
        <v/>
      </c>
      <c r="AE15" s="131" t="str">
        <f t="shared" si="4"/>
        <v/>
      </c>
    </row>
    <row r="16" spans="1:31" ht="15.75" thickBot="1" x14ac:dyDescent="0.3">
      <c r="A16" s="147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46"/>
      <c r="G16" s="144"/>
      <c r="H16" s="143"/>
      <c r="I16" s="60"/>
      <c r="J16" s="86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126" t="str">
        <f t="shared" si="2"/>
        <v/>
      </c>
      <c r="AD16" s="128" t="str">
        <f t="shared" si="3"/>
        <v/>
      </c>
      <c r="AE16" s="127" t="str">
        <f t="shared" si="4"/>
        <v/>
      </c>
    </row>
    <row r="17" spans="1:31" ht="15.75" thickBot="1" x14ac:dyDescent="0.3">
      <c r="A17" s="148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160</v>
      </c>
      <c r="F17" s="146"/>
      <c r="G17" s="144"/>
      <c r="H17" s="142"/>
      <c r="I17" s="96"/>
      <c r="J17" s="11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138" t="str">
        <f t="shared" si="2"/>
        <v/>
      </c>
      <c r="AD17" s="139" t="str">
        <f t="shared" si="3"/>
        <v/>
      </c>
      <c r="AE17" s="140" t="str">
        <f t="shared" si="4"/>
        <v/>
      </c>
    </row>
    <row r="18" spans="1:31" ht="15.75" thickBot="1" x14ac:dyDescent="0.3">
      <c r="H18" s="124" t="s">
        <v>128</v>
      </c>
      <c r="I18" s="123" cm="1">
        <f t="array" ref="I18">SUMPRODUCT(--(UPPER(I2:I17)=$AE$2:$AE$17),--($AE$2:$AE$17&lt;&gt;""))+ORGANIZAÇÃO!G74</f>
        <v>52</v>
      </c>
      <c r="J18" s="92" cm="1">
        <f t="array" ref="J18">SUMPRODUCT(--(UPPER(J2:J17)=$AE$2:$AE$17),--($AE$2:$AE$17&lt;&gt;""))+ORGANIZAÇÃO!H74</f>
        <v>50</v>
      </c>
      <c r="K18" s="92" cm="1">
        <f t="array" ref="K18">SUMPRODUCT(--(UPPER(K2:K17)=$AE$2:$AE$17),--($AE$2:$AE$17&lt;&gt;""))+ORGANIZAÇÃO!I74</f>
        <v>51</v>
      </c>
      <c r="L18" s="92" cm="1">
        <f t="array" ref="L18">SUMPRODUCT(--(UPPER(L2:L17)=$AE$2:$AE$17),--($AE$2:$AE$17&lt;&gt;""))+ORGANIZAÇÃO!J74</f>
        <v>52</v>
      </c>
      <c r="M18" s="92" cm="1">
        <f t="array" ref="M18">SUMPRODUCT(--(UPPER(M2:M17)=$AE$2:$AE$17),--($AE$2:$AE$17&lt;&gt;""))+ORGANIZAÇÃO!K74</f>
        <v>48</v>
      </c>
      <c r="N18" s="92" cm="1">
        <f t="array" ref="N18">SUMPRODUCT(--(UPPER(N2:N17)=$AE$2:$AE$17),--($AE$2:$AE$17&lt;&gt;""))+ORGANIZAÇÃO!L74</f>
        <v>49</v>
      </c>
      <c r="O18" s="92" cm="1">
        <f t="array" ref="O18">SUMPRODUCT(--(UPPER(O2:O17)=$AE$2:$AE$17),--($AE$2:$AE$17&lt;&gt;""))+ORGANIZAÇÃO!M74</f>
        <v>54</v>
      </c>
      <c r="P18" s="92" cm="1">
        <f t="array" ref="P18">SUMPRODUCT(--(UPPER(P2:P17)=$AE$2:$AE$17),--($AE$2:$AE$17&lt;&gt;""))+ORGANIZAÇÃO!N74</f>
        <v>57</v>
      </c>
      <c r="Q18" s="92" cm="1">
        <f t="array" ref="Q18">SUMPRODUCT(--(UPPER(Q2:Q17)=$AE$2:$AE$17),--($AE$2:$AE$17&lt;&gt;""))+ORGANIZAÇÃO!O74</f>
        <v>47</v>
      </c>
      <c r="R18" s="92" cm="1">
        <f t="array" ref="R18">SUMPRODUCT(--(UPPER(R2:R17)=$AE$2:$AE$17),--($AE$2:$AE$17&lt;&gt;""))+ORGANIZAÇÃO!P74</f>
        <v>50</v>
      </c>
      <c r="S18" s="92" cm="1">
        <f t="array" ref="S18">SUMPRODUCT(--(UPPER(S2:S17)=$AE$2:$AE$17),--($AE$2:$AE$17&lt;&gt;""))+ORGANIZAÇÃO!Q74</f>
        <v>46</v>
      </c>
      <c r="T18" s="92" cm="1">
        <f t="array" ref="T18">SUMPRODUCT(--(UPPER(T2:T17)=$AE$2:$AE$17),--($AE$2:$AE$17&lt;&gt;""))+ORGANIZAÇÃO!R74</f>
        <v>42</v>
      </c>
      <c r="U18" s="92" cm="1">
        <f t="array" ref="U18">SUMPRODUCT(--(UPPER(U2:U17)=$AE$2:$AE$17),--($AE$2:$AE$17&lt;&gt;""))+ORGANIZAÇÃO!S74</f>
        <v>44</v>
      </c>
      <c r="V18" s="92" cm="1">
        <f t="array" ref="V18">SUMPRODUCT(--(UPPER(V2:V17)=$AE$2:$AE$17),--($AE$2:$AE$17&lt;&gt;""))+ORGANIZAÇÃO!T74</f>
        <v>46</v>
      </c>
      <c r="W18" s="92" cm="1">
        <f t="array" ref="W18">SUMPRODUCT(--(UPPER(W2:W17)=$AE$2:$AE$17),--($AE$2:$AE$17&lt;&gt;""))+ORGANIZAÇÃO!U74</f>
        <v>50</v>
      </c>
      <c r="X18" s="92" cm="1">
        <f t="array" ref="X18">SUMPRODUCT(--(UPPER(X2:X17)=$AE$2:$AE$17),--($AE$2:$AE$17&lt;&gt;""))+ORGANIZAÇÃO!V74</f>
        <v>47</v>
      </c>
      <c r="Y18" s="92" cm="1">
        <f t="array" ref="Y18">SUMPRODUCT(--(UPPER(Y2:Y17)=$AE$2:$AE$17),--($AE$2:$AE$17&lt;&gt;""))+ORGANIZAÇÃO!W74</f>
        <v>46</v>
      </c>
      <c r="Z18" s="92" cm="1">
        <f t="array" ref="Z18">SUMPRODUCT(--(UPPER(Z2:Z17)=$AE$2:$AE$17),--($AE$2:$AE$17&lt;&gt;""))+ORGANIZAÇÃO!X74</f>
        <v>46</v>
      </c>
      <c r="AA18" s="92" cm="1">
        <f t="array" ref="AA18">SUMPRODUCT(--(UPPER(AA2:AA17)=$AE$2:$AE$17),--($AE$2:$AE$17&lt;&gt;""))+ORGANIZAÇÃO!Y74</f>
        <v>48</v>
      </c>
      <c r="AB18" s="92" cm="1">
        <f t="array" ref="AB18">SUMPRODUCT(--(UPPER(AB2:AB17)=$AE$2:$AE$17),--($AE$2:$AE$17&lt;&gt;""))+ORGANIZAÇÃO!Z74</f>
        <v>40</v>
      </c>
    </row>
  </sheetData>
  <mergeCells count="5">
    <mergeCell ref="A15:A17"/>
    <mergeCell ref="A3:A5"/>
    <mergeCell ref="A6:A8"/>
    <mergeCell ref="A9:A11"/>
    <mergeCell ref="A12:A14"/>
  </mergeCells>
  <conditionalFormatting sqref="I2:AB17">
    <cfRule type="expression" dxfId="1" priority="1">
      <formula>AND($AE2&lt;&gt;"",I2=$AE2)</formula>
    </cfRule>
    <cfRule type="expression" dxfId="0" priority="2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2026-07-03T07:34:43Z</dcterms:modified>
  <cp:category/>
  <cp:contentStatus/>
</cp:coreProperties>
</file>