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F50EB120-8FA0-3B49-B7E0-5EC0A2B0483C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/>
  <c r="AB16" i="7"/>
  <c r="AA16" i="7"/>
  <c r="AB15" i="7"/>
  <c r="AA15" i="7"/>
  <c r="AC15" i="7"/>
  <c r="AB14" i="7"/>
  <c r="AA14" i="7"/>
  <c r="AC14" i="7"/>
  <c r="AB13" i="7"/>
  <c r="AA13" i="7"/>
  <c r="AC13" i="7"/>
  <c r="AB12" i="7"/>
  <c r="AA12" i="7"/>
  <c r="AC12" i="7"/>
  <c r="AB11" i="7"/>
  <c r="AA11" i="7"/>
  <c r="AC11" i="7"/>
  <c r="AB10" i="7"/>
  <c r="AA10" i="7"/>
  <c r="AC10" i="7"/>
  <c r="AB9" i="7"/>
  <c r="AA9" i="7"/>
  <c r="AC9" i="7"/>
  <c r="AB8" i="7"/>
  <c r="AA8" i="7"/>
  <c r="AC8" i="7"/>
  <c r="AB7" i="7"/>
  <c r="AA7" i="7"/>
  <c r="AC7" i="7"/>
  <c r="AB6" i="7"/>
  <c r="AA6" i="7"/>
  <c r="AC6" i="7"/>
  <c r="AB5" i="7"/>
  <c r="AA5" i="7"/>
  <c r="AC5" i="7"/>
  <c r="AB4" i="7"/>
  <c r="AA4" i="7"/>
  <c r="AC4" i="7"/>
  <c r="AB3" i="7"/>
  <c r="AA3" i="7"/>
  <c r="AC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2" i="7"/>
  <c r="AC3" i="6"/>
  <c r="AC33" i="6"/>
  <c r="AC21" i="6"/>
  <c r="AC9" i="6"/>
  <c r="AC66" i="6"/>
  <c r="AC54" i="6"/>
  <c r="AC42" i="6"/>
  <c r="AC69" i="6"/>
  <c r="M74" i="6" a="1"/>
  <c r="M74" i="6"/>
  <c r="AC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Z18" i="7" a="1"/>
  <c r="Z18" i="7"/>
  <c r="N18" i="7" a="1"/>
  <c r="N18" i="7"/>
  <c r="Y18" i="7" a="1"/>
  <c r="Y18" i="7"/>
  <c r="M18" i="7" a="1"/>
  <c r="M18" i="7"/>
  <c r="X18" i="7" a="1"/>
  <c r="X18" i="7"/>
  <c r="L18" i="7" a="1"/>
  <c r="L18" i="7"/>
  <c r="W18" i="7" a="1"/>
  <c r="W18" i="7"/>
  <c r="K18" i="7" a="1"/>
  <c r="K18" i="7"/>
  <c r="V18" i="7" a="1"/>
  <c r="V18" i="7"/>
  <c r="J18" i="7" a="1"/>
  <c r="J18" i="7"/>
  <c r="U18" i="7" a="1"/>
  <c r="U18" i="7"/>
  <c r="I18" i="7" a="1"/>
  <c r="I18" i="7"/>
  <c r="T18" i="7" a="1"/>
  <c r="T18" i="7"/>
  <c r="H18" i="7" a="1"/>
  <c r="H18" i="7"/>
  <c r="S18" i="7" a="1"/>
  <c r="S18" i="7"/>
  <c r="G18" i="7" a="1"/>
  <c r="G18" i="7"/>
  <c r="R18" i="7" a="1"/>
  <c r="R18" i="7"/>
  <c r="Q18" i="7" a="1"/>
  <c r="Q18" i="7"/>
  <c r="P18" i="7" a="1"/>
  <c r="P18" i="7"/>
  <c r="O18" i="7" a="1"/>
  <c r="O1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<sst xmlns="http://schemas.openxmlformats.org/spreadsheetml/2006/main" count="1739" uniqueCount="162">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</sst>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66" t="s">
        <v>0</v>
      </c>
      <c r="B1" s="166"/>
      <c r="C1" s="13"/>
      <c r="D1" s="13"/>
      <c r="E1" s="13"/>
      <c r="F1" s="13"/>
      <c r="G1" s="13"/>
      <c r="H1" s="13"/>
    </row>
    <row r="2" spans="1:8" ht="15" customHeight="1" x14ac:dyDescent="0.2">
      <c r="A2" s="166"/>
      <c r="B2" s="166"/>
      <c r="C2" s="13"/>
      <c r="D2" s="13"/>
      <c r="E2" s="13"/>
      <c r="F2" s="13"/>
      <c r="G2" s="13"/>
      <c r="H2" s="13"/>
    </row>
    <row r="3" spans="1:8" ht="15" customHeight="1" x14ac:dyDescent="0.2">
      <c r="A3" s="166"/>
      <c r="B3" s="16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67" t="s">
        <v>20</v>
      </c>
      <c r="B1" s="168"/>
      <c r="C1" s="168"/>
      <c r="D1" s="168"/>
      <c r="E1" s="168"/>
      <c r="F1" s="168"/>
      <c r="G1" s="16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1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">
      <c r="A2" s="162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2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25">
      <c r="A3" s="163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3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25">
      <c r="A4" s="164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2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25">
      <c r="A5" s="165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3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25">
      <c r="A6" s="158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2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25">
      <c r="A7" s="159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4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25">
      <c r="A8" s="160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5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25">
      <c r="A9" s="161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6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25">
      <c r="A10" s="143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2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25">
      <c r="A11" s="144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4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25">
      <c r="A12" s="145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5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25">
      <c r="A13" s="146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6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25">
      <c r="A14" s="158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2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25">
      <c r="A15" s="159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4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25">
      <c r="A16" s="160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5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25">
      <c r="A17" s="161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6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25">
      <c r="A18" s="143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2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25">
      <c r="A19" s="144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4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25">
      <c r="A20" s="145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5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25">
      <c r="A21" s="146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6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25">
      <c r="A22" s="158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2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25">
      <c r="A23" s="159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4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25">
      <c r="A24" s="160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5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25">
      <c r="A25" s="161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6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25">
      <c r="A26" s="143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2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25">
      <c r="A27" s="144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4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25">
      <c r="A28" s="145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5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25">
      <c r="A29" s="146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6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25">
      <c r="A30" s="158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2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25">
      <c r="A31" s="159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4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25">
      <c r="A32" s="160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5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25">
      <c r="A33" s="161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6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25">
      <c r="A34" s="143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2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25">
      <c r="A35" s="144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4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25">
      <c r="A36" s="145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5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25">
      <c r="A37" s="146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6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25">
      <c r="A38" s="158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2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25">
      <c r="A39" s="159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4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25">
      <c r="A40" s="160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5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25">
      <c r="A41" s="161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6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25">
      <c r="A42" s="143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2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25">
      <c r="A43" s="144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4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25">
      <c r="A44" s="145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5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25">
      <c r="A45" s="146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6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25">
      <c r="A46" s="158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2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25">
      <c r="A47" s="159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4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25">
      <c r="A48" s="160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5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25">
      <c r="A49" s="161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6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25">
      <c r="A50" s="143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2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25">
      <c r="A51" s="144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4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25">
      <c r="A52" s="145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5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25">
      <c r="A53" s="145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5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25">
      <c r="A54" s="145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5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25">
      <c r="A55" s="146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6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25">
      <c r="A56" s="158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2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25">
      <c r="A57" s="159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4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25">
      <c r="A58" s="160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5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25">
      <c r="A59" s="160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5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25">
      <c r="A60" s="160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5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25">
      <c r="A61" s="161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6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25">
      <c r="A62" s="143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2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25">
      <c r="A63" s="144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4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25">
      <c r="A64" s="145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5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25">
      <c r="A65" s="145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5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25">
      <c r="A66" s="145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5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25">
      <c r="A67" s="146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6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25">
      <c r="A68" s="147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2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25">
      <c r="A69" s="148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4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25">
      <c r="A70" s="149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5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25">
      <c r="A71" s="149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5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25">
      <c r="A72" s="149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5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25">
      <c r="A73" s="150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7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25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topLeftCell="C1" workbookViewId="0">
      <pane ySplit="1" topLeftCell="C2" activePane="bottomLeft" state="frozen"/>
      <selection activeCell="C1" sqref="C1"/>
      <selection pane="bottomLeft" activeCell="Y2" sqref="Y2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29" ht="17.25" thickBot="1" x14ac:dyDescent="0.25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25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36" t="s">
        <v>160</v>
      </c>
      <c r="F2" s="137"/>
      <c r="G2" s="138" t="s">
        <v>45</v>
      </c>
      <c r="H2" s="139" t="s">
        <v>44</v>
      </c>
      <c r="I2" s="138" t="s">
        <v>45</v>
      </c>
      <c r="J2" s="138" t="s">
        <v>44</v>
      </c>
      <c r="K2" s="138" t="s">
        <v>46</v>
      </c>
      <c r="L2" s="138" t="s">
        <v>45</v>
      </c>
      <c r="M2" s="138" t="s">
        <v>45</v>
      </c>
      <c r="N2" s="138" t="s">
        <v>45</v>
      </c>
      <c r="O2" s="138" t="s">
        <v>45</v>
      </c>
      <c r="P2" s="138" t="s">
        <v>45</v>
      </c>
      <c r="Q2" s="138" t="s">
        <v>44</v>
      </c>
      <c r="R2" s="138"/>
      <c r="S2" s="138" t="s">
        <v>45</v>
      </c>
      <c r="T2" s="138" t="s">
        <v>45</v>
      </c>
      <c r="U2" s="138" t="s">
        <v>45</v>
      </c>
      <c r="V2" s="138" t="s">
        <v>45</v>
      </c>
      <c r="W2" s="138"/>
      <c r="X2" s="138" t="s">
        <v>44</v>
      </c>
      <c r="Y2" s="138" t="s">
        <v>45</v>
      </c>
      <c r="Z2" s="138"/>
      <c r="AA2" s="66" t="str">
        <f>IFERROR(VALUE(TRIM(LEFT($E2,SEARCH("x",$E2)-1))),"")</f>
        <v/>
      </c>
      <c r="AB2" s="73" t="str">
        <f>IFERROR(VALUE(TRIM(MID($E2,SEARCH("x",$E2)+1,10))),"")</f>
        <v/>
      </c>
      <c r="AC2" s="71" t="str">
        <f>IF(OR($AA2="",$AB2=""),"",IF($AA2&gt;$AB2,"A",IF($AA2&lt;$AB2,"B","E")))</f>
        <v/>
      </c>
    </row>
    <row r="3" spans="1:29" ht="15.75" thickBot="1" x14ac:dyDescent="0.25">
      <c r="A3" s="169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25">
      <c r="A4" s="169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25">
      <c r="A5" s="170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25">
      <c r="A6" s="169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25">
      <c r="A7" s="169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25">
      <c r="A8" s="170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25">
      <c r="A9" s="169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25">
      <c r="A10" s="169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25">
      <c r="A11" s="170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25">
      <c r="A12" s="169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25">
      <c r="A13" s="169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25">
      <c r="A14" s="170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25">
      <c r="A15" s="169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25">
      <c r="A16" s="169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25">
      <c r="A17" s="170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25">
      <c r="F18" s="125" t="s">
        <v>128</v>
      </c>
      <c r="G18" s="124" cm="1">
        <f t="array" ref="G18">SUMPRODUCT(--(UPPER(G2:G17)=$AC$2:$AC$17),--($AC$2:$AC$17&lt;&gt;""))+ORGANIZAÇÃO!G74</f>
        <v>42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42</v>
      </c>
      <c r="J18" s="93" cm="1">
        <f t="array" ref="J18">SUMPRODUCT(--(UPPER(J2:J17)=$AC$2:$AC$17),--($AC$2:$AC$17&lt;&gt;""))+ORGANIZAÇÃO!J74</f>
        <v>44</v>
      </c>
      <c r="K18" s="93" cm="1">
        <f t="array" ref="K18">SUMPRODUCT(--(UPPER(K2:K17)=$AC$2:$AC$17),--($AC$2:$AC$17&lt;&gt;""))+ORGANIZAÇÃO!K74</f>
        <v>40</v>
      </c>
      <c r="L18" s="93" cm="1">
        <f t="array" ref="L18">SUMPRODUCT(--(UPPER(L2:L17)=$AC$2:$AC$17),--($AC$2:$AC$17&lt;&gt;""))+ORGANIZAÇÃO!L74</f>
        <v>40</v>
      </c>
      <c r="M18" s="93" cm="1">
        <f t="array" ref="M18">SUMPRODUCT(--(UPPER(M2:M17)=$AC$2:$AC$17),--($AC$2:$AC$17&lt;&gt;""))+ORGANIZAÇÃO!M74</f>
        <v>44</v>
      </c>
      <c r="N18" s="93" cm="1">
        <f t="array" ref="N18">SUMPRODUCT(--(UPPER(N2:N17)=$AC$2:$AC$17),--($AC$2:$AC$17&lt;&gt;""))+ORGANIZAÇÃO!N74</f>
        <v>47</v>
      </c>
      <c r="O18" s="93" cm="1">
        <f t="array" ref="O18">SUMPRODUCT(--(UPPER(O2:O17)=$AC$2:$AC$17),--($AC$2:$AC$17&lt;&gt;""))+ORGANIZAÇÃO!O74</f>
        <v>38</v>
      </c>
      <c r="P18" s="93" cm="1">
        <f t="array" ref="P18">SUMPRODUCT(--(UPPER(P2:P17)=$AC$2:$AC$17),--($AC$2:$AC$17&lt;&gt;""))+ORGANIZAÇÃO!P74</f>
        <v>42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35</v>
      </c>
      <c r="T18" s="93" cm="1">
        <f t="array" ref="T18">SUMPRODUCT(--(UPPER(T2:T17)=$AC$2:$AC$17),--($AC$2:$AC$17&lt;&gt;""))+ORGANIZAÇÃO!T74</f>
        <v>36</v>
      </c>
      <c r="U18" s="93" cm="1">
        <f t="array" ref="U18">SUMPRODUCT(--(UPPER(U2:U17)=$AC$2:$AC$17),--($AC$2:$AC$17&lt;&gt;""))+ORGANIZAÇÃO!U74</f>
        <v>41</v>
      </c>
      <c r="V18" s="93" cm="1">
        <f t="array" ref="V18">SUMPRODUCT(--(UPPER(V2:V17)=$AC$2:$AC$17),--($AC$2:$AC$17&lt;&gt;""))+ORGANIZAÇÃO!V74</f>
        <v>38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39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2026-06-28T11:49:48Z</dcterms:modified>
  <cp:category/>
  <cp:contentStatus/>
</cp:coreProperties>
</file>