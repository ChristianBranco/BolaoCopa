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d.docs.live.net/CA21BB4BE959536C/Documentos/"/>
    </mc:Choice>
  </mc:AlternateContent>
  <xr:revisionPtr revIDLastSave="0" documentId="8_{C964C5ED-7439-44F2-ABAD-3002D98892DB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P74" i="6" a="1"/>
  <c r="P74" i="6"/>
  <c r="O74" i="6" a="1"/>
  <c r="O74" i="6"/>
  <c r="N74" i="6" a="1"/>
  <c r="N74" i="6"/>
  <c r="M74" i="6" a="1"/>
  <c r="M74" i="6"/>
  <c r="L74" i="6" a="1"/>
  <c r="L74" i="6"/>
  <c r="K74" i="6" a="1"/>
  <c r="K74" i="6"/>
  <c r="J74" i="6" a="1"/>
  <c r="J74" i="6"/>
  <c r="I74" i="6" a="1"/>
  <c r="I74" i="6"/>
  <c r="H74" i="6" a="1"/>
  <c r="H74" i="6"/>
  <c r="G74" i="6" a="1"/>
  <c r="G74" i="6"/>
  <c r="Z74" i="6" a="1"/>
  <c r="Z74" i="6"/>
  <c r="Q74" i="6" a="1"/>
  <c r="Q74" i="6"/>
  <c r="R74" i="6" a="1"/>
  <c r="R74" i="6"/>
  <c r="S74" i="6" a="1"/>
  <c r="S74" i="6"/>
  <c r="T74" i="6" a="1"/>
  <c r="T74" i="6"/>
  <c r="U74" i="6" a="1"/>
  <c r="U74" i="6"/>
  <c r="V74" i="6" a="1"/>
  <c r="V74" i="6"/>
  <c r="W74" i="6" a="1"/>
  <c r="W74" i="6"/>
  <c r="X74" i="6" a="1"/>
  <c r="X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<sst xmlns="http://schemas.openxmlformats.org/spreadsheetml/2006/main" count="551" uniqueCount="129">
  <si>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</si>
  <si>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</si>
  <si>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</si>
  <si>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</si>
  <si>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</si>
  <si>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</si>
  <si>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</si>
  <si>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</si>
  <si>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</si>
  <si>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</si>
  <si>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</si>
  <si>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</si>
  <si>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</si>
  <si>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</si>
  <si>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</si>
  <si>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</si>
  <si>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</si>
  <si>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</si>
  <si>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</si>
  <si>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</si>
  <si>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</si>
  <si>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</si>
  <si>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</si>
  <si>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</si>
  <si>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</si>
  <si>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</si>
  <si>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</si>
  <si>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</si>
  <si>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</si>
  <si>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</si>
  <si>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</si>
  <si>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</si>
  <si>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</si>
  <si>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</si>
  <si>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</si>
  <si>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</si>
  <si>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</si>
  <si>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</si>
  <si>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</si>
  <si>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</si>
  <si>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</si>
  <si>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</si>
  <si>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</si>
  <si>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</si>
  <si>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</si>
  <si>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</si>
  <si>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</si>
  <si>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</si>
  <si>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</si>
  <si>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</si>
  <si>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</si>
  <si>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</si>
  <si>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</si>
  <si>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</si>
  <si>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</si>
  <si>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</si>
  <si>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</si>
  <si>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</si>
  <si>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</si>
  <si>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</si>
  <si>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</si>
  <si>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</si>
  <si>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</si>
  <si>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</si>
  <si>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</si>
  <si>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</si>
  <si>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</si>
  <si>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#x#</t>
  </si>
  <si>
    <t>Irã x Nova Zelândia</t>
  </si>
  <si>
    <t>Espanha x Cabo Verde</t>
  </si>
  <si>
    <t>0x0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</si>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</sst>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5">
  <autoFilter ref="A4:B20" xr:uid="{49FA96F6-1C29-4184-8466-79C03B42EAD6}"/>
  <tableColumns count="2">
    <tableColumn id="1" xr3:uid="{377F1B03-9BE9-462A-A1BC-1F8EE6567180}" name="Participantes" dataDxfId="4"/>
    <tableColumn id="3" xr3:uid="{EF301B8F-51D1-4897-A7D7-3E56DAA9D6FC}" name="Pago" dataDxfId="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/>
  <cols>
    <col min="1" max="1" width="24.7109375" customWidth="1"/>
    <col min="2" max="3" width="14.28515625" customWidth="1"/>
  </cols>
  <sheetData>
    <row r="1" spans="1:8" ht="21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>
      <c r="A2" s="117"/>
      <c r="B2" s="117"/>
      <c r="C2" s="13"/>
      <c r="D2" s="13"/>
      <c r="E2" s="13"/>
      <c r="F2" s="13"/>
      <c r="G2" s="13"/>
      <c r="H2" s="13"/>
    </row>
    <row r="3" spans="1:8" ht="15" customHeight="1">
      <c r="A3" s="117"/>
      <c r="B3" s="117"/>
      <c r="C3" s="13"/>
      <c r="D3" s="13"/>
      <c r="E3" s="13"/>
      <c r="F3" s="13"/>
      <c r="G3" s="13"/>
      <c r="H3" s="13"/>
    </row>
    <row r="4" spans="1:8" ht="26.1" customHeight="1">
      <c r="A4" s="2" t="s">
        <v>1</v>
      </c>
      <c r="B4" s="2" t="s">
        <v>2</v>
      </c>
    </row>
    <row r="5" spans="1:8">
      <c r="A5" s="3" t="s">
        <v>3</v>
      </c>
      <c r="B5" s="1" t="s">
        <v>4</v>
      </c>
    </row>
    <row r="6" spans="1:8">
      <c r="A6" s="3" t="s">
        <v>5</v>
      </c>
      <c r="B6" s="1" t="s">
        <v>4</v>
      </c>
    </row>
    <row r="7" spans="1:8">
      <c r="A7" s="3" t="s">
        <v>6</v>
      </c>
      <c r="B7" s="1" t="s">
        <v>4</v>
      </c>
    </row>
    <row r="8" spans="1:8">
      <c r="A8" s="3" t="s">
        <v>7</v>
      </c>
      <c r="B8" s="1" t="s">
        <v>4</v>
      </c>
    </row>
    <row r="9" spans="1:8">
      <c r="A9" s="3" t="s">
        <v>8</v>
      </c>
      <c r="B9" s="1" t="s">
        <v>4</v>
      </c>
    </row>
    <row r="10" spans="1:8">
      <c r="A10" s="3" t="s">
        <v>9</v>
      </c>
      <c r="B10" s="1" t="s">
        <v>4</v>
      </c>
    </row>
    <row r="11" spans="1:8">
      <c r="A11" s="3" t="s">
        <v>10</v>
      </c>
      <c r="B11" s="1" t="s">
        <v>4</v>
      </c>
    </row>
    <row r="12" spans="1:8">
      <c r="A12" s="3" t="s">
        <v>11</v>
      </c>
      <c r="B12" s="1" t="s">
        <v>4</v>
      </c>
    </row>
    <row r="13" spans="1:8">
      <c r="A13" s="3" t="s">
        <v>12</v>
      </c>
      <c r="B13" s="1" t="s">
        <v>4</v>
      </c>
    </row>
    <row r="14" spans="1:8">
      <c r="A14" s="3" t="s">
        <v>13</v>
      </c>
      <c r="B14" s="1" t="s">
        <v>4</v>
      </c>
    </row>
    <row r="15" spans="1:8">
      <c r="A15" s="3" t="s">
        <v>14</v>
      </c>
      <c r="B15" s="1" t="s">
        <v>4</v>
      </c>
    </row>
    <row r="16" spans="1:8">
      <c r="A16" s="3" t="s">
        <v>15</v>
      </c>
      <c r="B16" s="1" t="s">
        <v>4</v>
      </c>
    </row>
    <row r="17" spans="1:2">
      <c r="A17" s="3" t="s">
        <v>16</v>
      </c>
      <c r="B17" s="1" t="s">
        <v>4</v>
      </c>
    </row>
    <row r="18" spans="1:2">
      <c r="A18" s="3" t="s">
        <v>17</v>
      </c>
      <c r="B18" s="1" t="s">
        <v>4</v>
      </c>
    </row>
    <row r="19" spans="1:2">
      <c r="A19" s="3" t="s">
        <v>18</v>
      </c>
      <c r="B19" s="1" t="s">
        <v>4</v>
      </c>
    </row>
    <row r="20" spans="1: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6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G1" zoomScaleNormal="100" workbookViewId="0">
      <pane ySplit="1" topLeftCell="A2" activePane="bottomLeft" state="frozen"/>
      <selection pane="bottomLeft" activeCell="K17" sqref="K17"/>
      <selection activeCell="B1" sqref="B1"/>
    </sheetView>
  </sheetViews>
  <sheetFormatPr defaultRowHeight="1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6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7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8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7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8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>
      <c r="A6" s="98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7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>
      <c r="A7" s="99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9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>
      <c r="A8" s="100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0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>
      <c r="A9" s="101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1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>
      <c r="A10" s="9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7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>
      <c r="A11" s="9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9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>
      <c r="A12" s="96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0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>
      <c r="A13" s="97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1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>
      <c r="A14" s="98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67</v>
      </c>
      <c r="F14" s="107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 t="str">
        <f t="shared" si="2"/>
        <v/>
      </c>
      <c r="AB14" s="93" t="str">
        <f t="shared" si="3"/>
        <v/>
      </c>
      <c r="AC14" s="88" t="str">
        <f t="shared" si="4"/>
        <v/>
      </c>
      <c r="AD14" s="54"/>
    </row>
    <row r="15" spans="1:30">
      <c r="A15" s="99"/>
      <c r="B15" s="25" t="s">
        <v>68</v>
      </c>
      <c r="C15" s="37" t="str">
        <f t="shared" si="0"/>
        <v>Irã</v>
      </c>
      <c r="D15" s="37" t="str">
        <f t="shared" si="1"/>
        <v>Nova Zelândia</v>
      </c>
      <c r="E15" s="47" t="s">
        <v>67</v>
      </c>
      <c r="F15" s="109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 t="str">
        <f t="shared" si="2"/>
        <v/>
      </c>
      <c r="AB15" s="93" t="str">
        <f t="shared" si="3"/>
        <v/>
      </c>
      <c r="AC15" s="88" t="str">
        <f t="shared" si="4"/>
        <v/>
      </c>
      <c r="AD15" s="54"/>
    </row>
    <row r="16" spans="1:30">
      <c r="A16" s="100"/>
      <c r="B16" s="26" t="s">
        <v>69</v>
      </c>
      <c r="C16" s="38" t="str">
        <f t="shared" si="0"/>
        <v>Espanha</v>
      </c>
      <c r="D16" s="38" t="str">
        <f t="shared" si="1"/>
        <v>Cabo Verde</v>
      </c>
      <c r="E16" s="48" t="s">
        <v>70</v>
      </c>
      <c r="F16" s="110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>
      <c r="A17" s="101"/>
      <c r="B17" s="27" t="s">
        <v>71</v>
      </c>
      <c r="C17" s="39" t="str">
        <f t="shared" si="0"/>
        <v>Arábia Saudita</v>
      </c>
      <c r="D17" s="39" t="str">
        <f t="shared" si="1"/>
        <v>Uruguai</v>
      </c>
      <c r="E17" s="49" t="s">
        <v>67</v>
      </c>
      <c r="F17" s="111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 t="str">
        <f t="shared" si="2"/>
        <v/>
      </c>
      <c r="AB17" s="93" t="str">
        <f t="shared" si="3"/>
        <v/>
      </c>
      <c r="AC17" s="88" t="str">
        <f t="shared" si="4"/>
        <v/>
      </c>
      <c r="AD17" s="54"/>
    </row>
    <row r="18" spans="1:30">
      <c r="A18" s="94">
        <v>46189</v>
      </c>
      <c r="B18" s="22" t="s">
        <v>72</v>
      </c>
      <c r="C18" s="34" t="str">
        <f t="shared" si="0"/>
        <v>França</v>
      </c>
      <c r="D18" s="34" t="str">
        <f t="shared" si="1"/>
        <v>Senegal</v>
      </c>
      <c r="E18" s="46" t="s">
        <v>67</v>
      </c>
      <c r="F18" s="107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>
      <c r="A19" s="95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67</v>
      </c>
      <c r="F19" s="109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>
      <c r="A20" s="96"/>
      <c r="B20" s="29" t="s">
        <v>74</v>
      </c>
      <c r="C20" s="41" t="str">
        <f t="shared" si="0"/>
        <v>Argentina</v>
      </c>
      <c r="D20" s="41" t="str">
        <f t="shared" si="1"/>
        <v>Argélia</v>
      </c>
      <c r="E20" s="51" t="s">
        <v>67</v>
      </c>
      <c r="F20" s="110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>
      <c r="A21" s="97"/>
      <c r="B21" s="30" t="s">
        <v>75</v>
      </c>
      <c r="C21" s="42" t="str">
        <f t="shared" si="0"/>
        <v>Áustria</v>
      </c>
      <c r="D21" s="42" t="str">
        <f t="shared" si="1"/>
        <v>Jordânia</v>
      </c>
      <c r="E21" s="52" t="s">
        <v>67</v>
      </c>
      <c r="F21" s="111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>
      <c r="A22" s="98">
        <v>46190</v>
      </c>
      <c r="B22" s="24" t="s">
        <v>76</v>
      </c>
      <c r="C22" s="36" t="str">
        <f t="shared" si="0"/>
        <v>Portugal</v>
      </c>
      <c r="D22" s="36" t="str">
        <f t="shared" si="1"/>
        <v>Rep. Dem. Congo</v>
      </c>
      <c r="E22" s="44" t="s">
        <v>67</v>
      </c>
      <c r="F22" s="107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>
      <c r="A23" s="99"/>
      <c r="B23" s="25" t="s">
        <v>77</v>
      </c>
      <c r="C23" s="37" t="str">
        <f t="shared" si="0"/>
        <v>Uzbequistão</v>
      </c>
      <c r="D23" s="37" t="str">
        <f t="shared" si="1"/>
        <v>Colômbia</v>
      </c>
      <c r="E23" s="47" t="s">
        <v>67</v>
      </c>
      <c r="F23" s="109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>
      <c r="A24" s="100"/>
      <c r="B24" s="26" t="s">
        <v>78</v>
      </c>
      <c r="C24" s="38" t="str">
        <f t="shared" si="0"/>
        <v>Inglaterra</v>
      </c>
      <c r="D24" s="38" t="str">
        <f t="shared" si="1"/>
        <v>Croácia</v>
      </c>
      <c r="E24" s="48" t="s">
        <v>67</v>
      </c>
      <c r="F24" s="110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>
      <c r="A25" s="101"/>
      <c r="B25" s="27" t="s">
        <v>79</v>
      </c>
      <c r="C25" s="39" t="str">
        <f t="shared" si="0"/>
        <v>Gana</v>
      </c>
      <c r="D25" s="39" t="str">
        <f t="shared" si="1"/>
        <v>Panamá</v>
      </c>
      <c r="E25" s="49" t="s">
        <v>67</v>
      </c>
      <c r="F25" s="111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>
      <c r="A26" s="94">
        <v>46191</v>
      </c>
      <c r="B26" s="22" t="s">
        <v>80</v>
      </c>
      <c r="C26" s="34" t="str">
        <f t="shared" si="0"/>
        <v>Tchéquia</v>
      </c>
      <c r="D26" s="34" t="str">
        <f t="shared" si="1"/>
        <v>África do Sul</v>
      </c>
      <c r="E26" s="46" t="s">
        <v>67</v>
      </c>
      <c r="F26" s="107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>
      <c r="A27" s="95"/>
      <c r="B27" s="28" t="s">
        <v>81</v>
      </c>
      <c r="C27" s="40" t="str">
        <f t="shared" si="0"/>
        <v>México</v>
      </c>
      <c r="D27" s="40" t="str">
        <f t="shared" si="1"/>
        <v>Coreia do Sul</v>
      </c>
      <c r="E27" s="50" t="s">
        <v>67</v>
      </c>
      <c r="F27" s="109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>
      <c r="A28" s="96"/>
      <c r="B28" s="29" t="s">
        <v>82</v>
      </c>
      <c r="C28" s="41" t="str">
        <f t="shared" si="0"/>
        <v>Suíça</v>
      </c>
      <c r="D28" s="41" t="str">
        <f t="shared" si="1"/>
        <v>Bósnia e Herzeg.</v>
      </c>
      <c r="E28" s="51" t="s">
        <v>67</v>
      </c>
      <c r="F28" s="110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>
      <c r="A29" s="97"/>
      <c r="B29" s="30" t="s">
        <v>83</v>
      </c>
      <c r="C29" s="42" t="str">
        <f t="shared" si="0"/>
        <v>Canadá</v>
      </c>
      <c r="D29" s="42" t="str">
        <f t="shared" si="1"/>
        <v>Catar</v>
      </c>
      <c r="E29" s="52" t="s">
        <v>67</v>
      </c>
      <c r="F29" s="111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>
      <c r="A30" s="98">
        <v>46192</v>
      </c>
      <c r="B30" s="24" t="s">
        <v>84</v>
      </c>
      <c r="C30" s="36" t="str">
        <f t="shared" si="0"/>
        <v>Escócia</v>
      </c>
      <c r="D30" s="36" t="str">
        <f t="shared" si="1"/>
        <v>Marrocos</v>
      </c>
      <c r="E30" s="44" t="s">
        <v>67</v>
      </c>
      <c r="F30" s="107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>
      <c r="A31" s="99"/>
      <c r="B31" s="25" t="s">
        <v>85</v>
      </c>
      <c r="C31" s="37" t="str">
        <f t="shared" si="0"/>
        <v>Brasil</v>
      </c>
      <c r="D31" s="37" t="str">
        <f t="shared" si="1"/>
        <v>Haiti</v>
      </c>
      <c r="E31" s="47" t="s">
        <v>67</v>
      </c>
      <c r="F31" s="109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>
      <c r="A32" s="100"/>
      <c r="B32" s="26" t="s">
        <v>86</v>
      </c>
      <c r="C32" s="38" t="str">
        <f t="shared" si="0"/>
        <v>Estados Unidos</v>
      </c>
      <c r="D32" s="38" t="str">
        <f t="shared" si="1"/>
        <v>Austrália</v>
      </c>
      <c r="E32" s="48" t="s">
        <v>67</v>
      </c>
      <c r="F32" s="110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>
      <c r="A33" s="101"/>
      <c r="B33" s="27" t="s">
        <v>87</v>
      </c>
      <c r="C33" s="39" t="str">
        <f t="shared" si="0"/>
        <v>Turquia</v>
      </c>
      <c r="D33" s="39" t="str">
        <f t="shared" si="1"/>
        <v>Paraguai</v>
      </c>
      <c r="E33" s="49" t="s">
        <v>67</v>
      </c>
      <c r="F33" s="111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>
      <c r="A34" s="94">
        <v>46193</v>
      </c>
      <c r="B34" s="22" t="s">
        <v>88</v>
      </c>
      <c r="C34" s="34" t="str">
        <f t="shared" si="0"/>
        <v>Alemanha</v>
      </c>
      <c r="D34" s="34" t="str">
        <f t="shared" si="1"/>
        <v>Costa do Marfim</v>
      </c>
      <c r="E34" s="46" t="s">
        <v>67</v>
      </c>
      <c r="F34" s="107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>
      <c r="A35" s="95"/>
      <c r="B35" s="28" t="s">
        <v>89</v>
      </c>
      <c r="C35" s="40" t="str">
        <f t="shared" si="0"/>
        <v>Equador</v>
      </c>
      <c r="D35" s="40" t="str">
        <f t="shared" si="1"/>
        <v>Curaçao</v>
      </c>
      <c r="E35" s="50" t="s">
        <v>67</v>
      </c>
      <c r="F35" s="109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>
      <c r="A36" s="96"/>
      <c r="B36" s="29" t="s">
        <v>90</v>
      </c>
      <c r="C36" s="41" t="str">
        <f t="shared" si="0"/>
        <v>Países Baixos</v>
      </c>
      <c r="D36" s="41" t="str">
        <f t="shared" si="1"/>
        <v>Suécia</v>
      </c>
      <c r="E36" s="51" t="s">
        <v>67</v>
      </c>
      <c r="F36" s="110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>
      <c r="A37" s="97"/>
      <c r="B37" s="30" t="s">
        <v>91</v>
      </c>
      <c r="C37" s="42" t="str">
        <f t="shared" si="0"/>
        <v>Tunísia</v>
      </c>
      <c r="D37" s="42" t="str">
        <f t="shared" si="1"/>
        <v>Japão</v>
      </c>
      <c r="E37" s="52" t="s">
        <v>67</v>
      </c>
      <c r="F37" s="111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>
      <c r="A38" s="98">
        <v>46194</v>
      </c>
      <c r="B38" s="24" t="s">
        <v>92</v>
      </c>
      <c r="C38" s="36" t="str">
        <f t="shared" si="0"/>
        <v>Bélgica</v>
      </c>
      <c r="D38" s="36" t="str">
        <f t="shared" si="1"/>
        <v>Irã</v>
      </c>
      <c r="E38" s="44" t="s">
        <v>67</v>
      </c>
      <c r="F38" s="107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>
      <c r="A39" s="99"/>
      <c r="B39" s="25" t="s">
        <v>93</v>
      </c>
      <c r="C39" s="37" t="str">
        <f t="shared" si="0"/>
        <v>Nova Zelândia</v>
      </c>
      <c r="D39" s="37" t="str">
        <f t="shared" si="1"/>
        <v>Egito</v>
      </c>
      <c r="E39" s="47" t="s">
        <v>67</v>
      </c>
      <c r="F39" s="109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>
      <c r="A40" s="100"/>
      <c r="B40" s="26" t="s">
        <v>94</v>
      </c>
      <c r="C40" s="38" t="str">
        <f t="shared" si="0"/>
        <v>Espanha</v>
      </c>
      <c r="D40" s="38" t="str">
        <f t="shared" si="1"/>
        <v>Arábia Saudita</v>
      </c>
      <c r="E40" s="48" t="s">
        <v>67</v>
      </c>
      <c r="F40" s="110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>
      <c r="A41" s="101"/>
      <c r="B41" s="27" t="s">
        <v>95</v>
      </c>
      <c r="C41" s="39" t="str">
        <f t="shared" si="0"/>
        <v>Uruguai</v>
      </c>
      <c r="D41" s="39" t="str">
        <f t="shared" si="1"/>
        <v>Cabo Verde</v>
      </c>
      <c r="E41" s="49" t="s">
        <v>67</v>
      </c>
      <c r="F41" s="111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>
      <c r="A42" s="94">
        <v>46195</v>
      </c>
      <c r="B42" s="22" t="s">
        <v>96</v>
      </c>
      <c r="C42" s="34" t="str">
        <f t="shared" si="0"/>
        <v>França</v>
      </c>
      <c r="D42" s="34" t="str">
        <f t="shared" si="1"/>
        <v>Iraque</v>
      </c>
      <c r="E42" s="46" t="s">
        <v>67</v>
      </c>
      <c r="F42" s="107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>
      <c r="A43" s="95"/>
      <c r="B43" s="28" t="s">
        <v>97</v>
      </c>
      <c r="C43" s="40" t="str">
        <f t="shared" si="0"/>
        <v>Noruega</v>
      </c>
      <c r="D43" s="40" t="str">
        <f t="shared" si="1"/>
        <v>Senegal</v>
      </c>
      <c r="E43" s="50" t="s">
        <v>67</v>
      </c>
      <c r="F43" s="109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>
      <c r="A44" s="96"/>
      <c r="B44" s="29" t="s">
        <v>98</v>
      </c>
      <c r="C44" s="41" t="str">
        <f t="shared" si="0"/>
        <v>Argentina</v>
      </c>
      <c r="D44" s="41" t="str">
        <f t="shared" si="1"/>
        <v>Áustria</v>
      </c>
      <c r="E44" s="51" t="s">
        <v>67</v>
      </c>
      <c r="F44" s="110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>
      <c r="A45" s="97"/>
      <c r="B45" s="30" t="s">
        <v>99</v>
      </c>
      <c r="C45" s="42" t="str">
        <f t="shared" si="0"/>
        <v>Jordânia</v>
      </c>
      <c r="D45" s="42" t="str">
        <f t="shared" si="1"/>
        <v>Argélia</v>
      </c>
      <c r="E45" s="52" t="s">
        <v>67</v>
      </c>
      <c r="F45" s="111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>
      <c r="A46" s="98">
        <v>46196</v>
      </c>
      <c r="B46" s="24" t="s">
        <v>100</v>
      </c>
      <c r="C46" s="36" t="str">
        <f t="shared" si="0"/>
        <v>Portugal</v>
      </c>
      <c r="D46" s="36" t="str">
        <f t="shared" si="1"/>
        <v>Uzbequistão</v>
      </c>
      <c r="E46" s="44" t="s">
        <v>67</v>
      </c>
      <c r="F46" s="107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>
      <c r="A47" s="99"/>
      <c r="B47" s="25" t="s">
        <v>101</v>
      </c>
      <c r="C47" s="37" t="str">
        <f t="shared" si="0"/>
        <v>Colômbia</v>
      </c>
      <c r="D47" s="37" t="str">
        <f t="shared" si="1"/>
        <v>Rep. Dem. Congo</v>
      </c>
      <c r="E47" s="47" t="s">
        <v>67</v>
      </c>
      <c r="F47" s="109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>
      <c r="A48" s="100"/>
      <c r="B48" s="26" t="s">
        <v>102</v>
      </c>
      <c r="C48" s="38" t="str">
        <f t="shared" si="0"/>
        <v>Inglaterra</v>
      </c>
      <c r="D48" s="38" t="str">
        <f t="shared" si="1"/>
        <v>Gana</v>
      </c>
      <c r="E48" s="48" t="s">
        <v>67</v>
      </c>
      <c r="F48" s="110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>
      <c r="A49" s="101"/>
      <c r="B49" s="27" t="s">
        <v>103</v>
      </c>
      <c r="C49" s="39" t="str">
        <f t="shared" si="0"/>
        <v>Panamá</v>
      </c>
      <c r="D49" s="39" t="str">
        <f t="shared" si="1"/>
        <v>Croácia</v>
      </c>
      <c r="E49" s="49" t="s">
        <v>67</v>
      </c>
      <c r="F49" s="111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>
      <c r="A50" s="94">
        <v>46197</v>
      </c>
      <c r="B50" s="22" t="s">
        <v>104</v>
      </c>
      <c r="C50" s="34" t="str">
        <f t="shared" si="0"/>
        <v>África do Sul</v>
      </c>
      <c r="D50" s="34" t="str">
        <f t="shared" si="1"/>
        <v>Coreia do Sul</v>
      </c>
      <c r="E50" s="46" t="s">
        <v>67</v>
      </c>
      <c r="F50" s="107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>
      <c r="A51" s="95"/>
      <c r="B51" s="28" t="s">
        <v>105</v>
      </c>
      <c r="C51" s="40" t="str">
        <f t="shared" si="0"/>
        <v>Tchéquia</v>
      </c>
      <c r="D51" s="40" t="str">
        <f t="shared" si="1"/>
        <v>México</v>
      </c>
      <c r="E51" s="50" t="s">
        <v>67</v>
      </c>
      <c r="F51" s="109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>
      <c r="A52" s="96"/>
      <c r="B52" s="29" t="s">
        <v>106</v>
      </c>
      <c r="C52" s="41" t="str">
        <f t="shared" si="0"/>
        <v>Suíça</v>
      </c>
      <c r="D52" s="41" t="str">
        <f t="shared" si="1"/>
        <v>Canadá</v>
      </c>
      <c r="E52" s="51" t="s">
        <v>67</v>
      </c>
      <c r="F52" s="110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>
      <c r="A53" s="96"/>
      <c r="B53" s="29" t="s">
        <v>107</v>
      </c>
      <c r="C53" s="41" t="str">
        <f t="shared" si="0"/>
        <v>Bósnia e Herzeg.</v>
      </c>
      <c r="D53" s="41" t="str">
        <f t="shared" si="1"/>
        <v>Catar</v>
      </c>
      <c r="E53" s="51" t="s">
        <v>67</v>
      </c>
      <c r="F53" s="110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>
      <c r="A54" s="96"/>
      <c r="B54" s="29" t="s">
        <v>108</v>
      </c>
      <c r="C54" s="41" t="str">
        <f t="shared" si="0"/>
        <v>Marrocos</v>
      </c>
      <c r="D54" s="41" t="str">
        <f t="shared" si="1"/>
        <v>Haiti</v>
      </c>
      <c r="E54" s="51" t="s">
        <v>67</v>
      </c>
      <c r="F54" s="110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>
      <c r="A55" s="97"/>
      <c r="B55" s="30" t="s">
        <v>109</v>
      </c>
      <c r="C55" s="42" t="str">
        <f t="shared" si="0"/>
        <v>Escócia</v>
      </c>
      <c r="D55" s="42" t="str">
        <f t="shared" si="1"/>
        <v>Brasil</v>
      </c>
      <c r="E55" s="52" t="s">
        <v>67</v>
      </c>
      <c r="F55" s="111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>
      <c r="A56" s="98">
        <v>46198</v>
      </c>
      <c r="B56" s="24" t="s">
        <v>110</v>
      </c>
      <c r="C56" s="36" t="str">
        <f t="shared" si="0"/>
        <v>Turquia</v>
      </c>
      <c r="D56" s="36" t="str">
        <f t="shared" si="1"/>
        <v>Estados Unidos</v>
      </c>
      <c r="E56" s="44" t="s">
        <v>67</v>
      </c>
      <c r="F56" s="107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>
      <c r="A57" s="99"/>
      <c r="B57" s="25" t="s">
        <v>111</v>
      </c>
      <c r="C57" s="37" t="str">
        <f t="shared" si="0"/>
        <v>Paraguai</v>
      </c>
      <c r="D57" s="37" t="str">
        <f t="shared" si="1"/>
        <v>Austrália</v>
      </c>
      <c r="E57" s="47" t="s">
        <v>67</v>
      </c>
      <c r="F57" s="109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>
      <c r="A58" s="100"/>
      <c r="B58" s="26" t="s">
        <v>112</v>
      </c>
      <c r="C58" s="38" t="str">
        <f t="shared" si="0"/>
        <v>Curaçao</v>
      </c>
      <c r="D58" s="38" t="str">
        <f t="shared" si="1"/>
        <v>Costa do Marfim</v>
      </c>
      <c r="E58" s="48" t="s">
        <v>67</v>
      </c>
      <c r="F58" s="110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>
      <c r="A59" s="100"/>
      <c r="B59" s="26" t="s">
        <v>113</v>
      </c>
      <c r="C59" s="38" t="str">
        <f t="shared" si="0"/>
        <v>Equador</v>
      </c>
      <c r="D59" s="38" t="str">
        <f t="shared" si="1"/>
        <v>Alemanha</v>
      </c>
      <c r="E59" s="48" t="s">
        <v>67</v>
      </c>
      <c r="F59" s="110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>
      <c r="A60" s="100"/>
      <c r="B60" s="26" t="s">
        <v>114</v>
      </c>
      <c r="C60" s="38" t="str">
        <f t="shared" si="0"/>
        <v>Tunísia</v>
      </c>
      <c r="D60" s="38" t="str">
        <f t="shared" si="1"/>
        <v>Países Baixos</v>
      </c>
      <c r="E60" s="48" t="s">
        <v>67</v>
      </c>
      <c r="F60" s="110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>
      <c r="A61" s="101"/>
      <c r="B61" s="27" t="s">
        <v>115</v>
      </c>
      <c r="C61" s="39" t="str">
        <f t="shared" si="0"/>
        <v>Japão</v>
      </c>
      <c r="D61" s="39" t="str">
        <f t="shared" si="1"/>
        <v>Suécia</v>
      </c>
      <c r="E61" s="49" t="s">
        <v>67</v>
      </c>
      <c r="F61" s="111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>
      <c r="A62" s="94">
        <v>46199</v>
      </c>
      <c r="B62" s="22" t="s">
        <v>116</v>
      </c>
      <c r="C62" s="34" t="str">
        <f t="shared" si="0"/>
        <v>Nova Zelândia</v>
      </c>
      <c r="D62" s="34" t="str">
        <f t="shared" si="1"/>
        <v>Bélgica</v>
      </c>
      <c r="E62" s="46" t="s">
        <v>67</v>
      </c>
      <c r="F62" s="107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>
      <c r="A63" s="95"/>
      <c r="B63" s="28" t="s">
        <v>117</v>
      </c>
      <c r="C63" s="40" t="str">
        <f t="shared" si="0"/>
        <v>Egito</v>
      </c>
      <c r="D63" s="40" t="str">
        <f t="shared" si="1"/>
        <v>Irã</v>
      </c>
      <c r="E63" s="50" t="s">
        <v>67</v>
      </c>
      <c r="F63" s="109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>
      <c r="A64" s="96"/>
      <c r="B64" s="29" t="s">
        <v>118</v>
      </c>
      <c r="C64" s="41" t="str">
        <f t="shared" si="0"/>
        <v>Cabo Verde</v>
      </c>
      <c r="D64" s="41" t="str">
        <f t="shared" si="1"/>
        <v>Arábia Saudita</v>
      </c>
      <c r="E64" s="51" t="s">
        <v>67</v>
      </c>
      <c r="F64" s="110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>
      <c r="A65" s="96"/>
      <c r="B65" s="29" t="s">
        <v>119</v>
      </c>
      <c r="C65" s="41" t="str">
        <f t="shared" si="0"/>
        <v>Uruguai</v>
      </c>
      <c r="D65" s="41" t="str">
        <f t="shared" si="1"/>
        <v>Espanha</v>
      </c>
      <c r="E65" s="51" t="s">
        <v>67</v>
      </c>
      <c r="F65" s="110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>
      <c r="A66" s="96"/>
      <c r="B66" s="29" t="s">
        <v>120</v>
      </c>
      <c r="C66" s="41" t="str">
        <f t="shared" si="0"/>
        <v>Noruega</v>
      </c>
      <c r="D66" s="41" t="str">
        <f t="shared" si="1"/>
        <v>França</v>
      </c>
      <c r="E66" s="51" t="s">
        <v>67</v>
      </c>
      <c r="F66" s="110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>
      <c r="A67" s="97"/>
      <c r="B67" s="30" t="s">
        <v>121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67</v>
      </c>
      <c r="F67" s="111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>
      <c r="A68" s="102">
        <v>46200</v>
      </c>
      <c r="B68" s="24" t="s">
        <v>122</v>
      </c>
      <c r="C68" s="36" t="str">
        <f t="shared" si="7"/>
        <v>Argélia</v>
      </c>
      <c r="D68" s="36" t="str">
        <f t="shared" si="8"/>
        <v>Áustria</v>
      </c>
      <c r="E68" s="44" t="s">
        <v>67</v>
      </c>
      <c r="F68" s="107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>
      <c r="A69" s="103"/>
      <c r="B69" s="25" t="s">
        <v>123</v>
      </c>
      <c r="C69" s="37" t="str">
        <f t="shared" si="7"/>
        <v>Jordânia</v>
      </c>
      <c r="D69" s="37" t="str">
        <f t="shared" si="8"/>
        <v>Argentina</v>
      </c>
      <c r="E69" s="47" t="s">
        <v>67</v>
      </c>
      <c r="F69" s="109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>
      <c r="A70" s="104"/>
      <c r="B70" s="26" t="s">
        <v>124</v>
      </c>
      <c r="C70" s="38" t="str">
        <f t="shared" si="7"/>
        <v>Colômbia</v>
      </c>
      <c r="D70" s="38" t="str">
        <f t="shared" si="8"/>
        <v>Portugal</v>
      </c>
      <c r="E70" s="48" t="s">
        <v>67</v>
      </c>
      <c r="F70" s="110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>
      <c r="A71" s="104"/>
      <c r="B71" s="26" t="s">
        <v>125</v>
      </c>
      <c r="C71" s="38" t="str">
        <f t="shared" si="7"/>
        <v>Rep. Dem. Congo</v>
      </c>
      <c r="D71" s="38" t="str">
        <f t="shared" si="8"/>
        <v>Uzbequistão</v>
      </c>
      <c r="E71" s="48" t="s">
        <v>67</v>
      </c>
      <c r="F71" s="110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>
      <c r="A72" s="104"/>
      <c r="B72" s="26" t="s">
        <v>126</v>
      </c>
      <c r="C72" s="38" t="str">
        <f t="shared" si="7"/>
        <v>Panamá</v>
      </c>
      <c r="D72" s="38" t="str">
        <f t="shared" si="8"/>
        <v>Inglaterra</v>
      </c>
      <c r="E72" s="48" t="s">
        <v>67</v>
      </c>
      <c r="F72" s="110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>
      <c r="A73" s="105"/>
      <c r="B73" s="31" t="s">
        <v>127</v>
      </c>
      <c r="C73" s="43" t="str">
        <f t="shared" si="7"/>
        <v>Croácia</v>
      </c>
      <c r="D73" s="43" t="str">
        <f t="shared" si="8"/>
        <v>Gana</v>
      </c>
      <c r="E73" s="53" t="s">
        <v>67</v>
      </c>
      <c r="F73" s="112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>
      <c r="F74" s="19" t="s">
        <v>128</v>
      </c>
      <c r="G74" s="77" cm="1">
        <f t="array" ref="G74">SUMPRODUCT(--(UPPER(G2:G73)=$AC$2:$AC$73),--($AC$2:$AC$73&lt;&gt;""))</f>
        <v>4</v>
      </c>
      <c r="H74" s="77" cm="1">
        <f t="array" ref="H74">SUMPRODUCT(--(UPPER(H2:H73)=$AC$2:$AC$73),--($AC$2:$AC$73&lt;&gt;""))</f>
        <v>4</v>
      </c>
      <c r="I74" s="77" cm="1">
        <f t="array" ref="I74">SUMPRODUCT(--(UPPER(I2:I73)=$AC$2:$AC$73),--($AC$2:$AC$73&lt;&gt;""))</f>
        <v>7</v>
      </c>
      <c r="J74" s="77" cm="1">
        <f t="array" ref="J74">SUMPRODUCT(--(UPPER(J2:J73)=$AC$2:$AC$73),--($AC$2:$AC$73&lt;&gt;""))</f>
        <v>7</v>
      </c>
      <c r="K74" s="77" cm="1">
        <f t="array" ref="K74">SUMPRODUCT(--(UPPER(K2:K73)=$AC$2:$AC$73),--($AC$2:$AC$73&lt;&gt;""))</f>
        <v>5</v>
      </c>
      <c r="L74" s="77" cm="1">
        <f t="array" ref="L74">SUMPRODUCT(--(UPPER(L2:L73)=$AC$2:$AC$73),--($AC$2:$AC$73&lt;&gt;""))</f>
        <v>5</v>
      </c>
      <c r="M74" s="77" cm="1">
        <f t="array" ref="M74">SUMPRODUCT(--(UPPER(M2:M73)=$AC$2:$AC$73),--($AC$2:$AC$73&lt;&gt;""))</f>
        <v>5</v>
      </c>
      <c r="N74" s="77" cm="1">
        <f t="array" ref="N74">SUMPRODUCT(--(UPPER(N2:N73)=$AC$2:$AC$73),--($AC$2:$AC$73&lt;&gt;""))</f>
        <v>7</v>
      </c>
      <c r="O74" s="77" cm="1">
        <f t="array" ref="O74">SUMPRODUCT(--(UPPER(O2:O73)=$AC$2:$AC$73),--($AC$2:$AC$73&lt;&gt;""))</f>
        <v>4</v>
      </c>
      <c r="P74" s="77" cm="1">
        <f t="array" ref="P74">SUMPRODUCT(--(UPPER(P2:P73)=$AC$2:$AC$73),--($AC$2:$AC$73&lt;&gt;""))</f>
        <v>6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4</v>
      </c>
      <c r="S74" s="77" cm="1">
        <f t="array" ref="S74">SUMPRODUCT(--(UPPER(S2:S73)=$AC$2:$AC$73),--($AC$2:$AC$73&lt;&gt;""))</f>
        <v>4</v>
      </c>
      <c r="T74" s="77" cm="1">
        <f t="array" ref="T74">SUMPRODUCT(--(UPPER(T2:T73)=$AC$2:$AC$73),--($AC$2:$AC$73&lt;&gt;""))</f>
        <v>5</v>
      </c>
      <c r="U74" s="77" cm="1">
        <f t="array" ref="U74">SUMPRODUCT(--(UPPER(U2:U73)=$AC$2:$AC$73),--($AC$2:$AC$73&lt;&gt;""))</f>
        <v>6</v>
      </c>
      <c r="V74" s="77" cm="1">
        <f t="array" ref="V74">SUMPRODUCT(--(UPPER(V2:V73)=$AC$2:$AC$73),--($AC$2:$AC$73&lt;&gt;""))</f>
        <v>4</v>
      </c>
      <c r="W74" s="77" cm="1">
        <f t="array" ref="W74">SUMPRODUCT(--(UPPER(W2:W73)=$AC$2:$AC$73),--($AC$2:$AC$73&lt;&gt;""))</f>
        <v>6</v>
      </c>
      <c r="X74" s="77" cm="1">
        <f t="array" ref="X74">SUMPRODUCT(--(UPPER(X2:X73)=$AC$2:$AC$73),--($AC$2:$AC$73&lt;&gt;""))</f>
        <v>3</v>
      </c>
      <c r="Y74" s="77" cm="1">
        <f t="array" ref="Y74">SUMPRODUCT(--(UPPER(Y2:Y73)=$AC$2:$AC$73),--($AC$2:$AC$73&lt;&gt;""))</f>
        <v>6</v>
      </c>
      <c r="Z74" s="77" cm="1">
        <f t="array" ref="Z74">SUMPRODUCT(--(UPPER(Z2:Z73)=$AC$2:$AC$73),--($AC$2:$AC$73&lt;&gt;""))</f>
        <v>5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/>
  <cp:revision/>
  <dcterms:created xsi:type="dcterms:W3CDTF">2026-06-10T21:13:32Z</dcterms:created>
  <dcterms:modified xsi:type="dcterms:W3CDTF">2026-06-15T19:03:36Z</dcterms:modified>
  <cp:category/>
  <cp:contentStatus/>
</cp:coreProperties>
</file>