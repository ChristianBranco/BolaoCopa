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53552627-9782-4E38-B94D-E2544D58EED0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/>
  <c r="AB16" i="7"/>
  <c r="AA16" i="7"/>
  <c r="AB15" i="7"/>
  <c r="AA15" i="7"/>
  <c r="AC15" i="7"/>
  <c r="AB14" i="7"/>
  <c r="AA14" i="7"/>
  <c r="AC14" i="7"/>
  <c r="AB13" i="7"/>
  <c r="AA13" i="7"/>
  <c r="AC13" i="7"/>
  <c r="AB12" i="7"/>
  <c r="AA12" i="7"/>
  <c r="AC12" i="7"/>
  <c r="AB11" i="7"/>
  <c r="AA11" i="7"/>
  <c r="AC11" i="7"/>
  <c r="AB10" i="7"/>
  <c r="AA10" i="7"/>
  <c r="AC10" i="7"/>
  <c r="AB9" i="7"/>
  <c r="AA9" i="7"/>
  <c r="AC9" i="7"/>
  <c r="AB8" i="7"/>
  <c r="AA8" i="7"/>
  <c r="AC8" i="7"/>
  <c r="AB7" i="7"/>
  <c r="AA7" i="7"/>
  <c r="AC7" i="7"/>
  <c r="AB6" i="7"/>
  <c r="AA6" i="7"/>
  <c r="AC6" i="7"/>
  <c r="AB5" i="7"/>
  <c r="AA5" i="7"/>
  <c r="AB4" i="7"/>
  <c r="AA4" i="7"/>
  <c r="AC4" i="7"/>
  <c r="AB3" i="7"/>
  <c r="AA3" i="7"/>
  <c r="AC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2" i="7"/>
  <c r="AC3" i="6"/>
  <c r="AC33" i="6"/>
  <c r="AC21" i="6"/>
  <c r="AC9" i="6"/>
  <c r="AC66" i="6"/>
  <c r="AC54" i="6"/>
  <c r="AC42" i="6"/>
  <c r="AC69" i="6"/>
  <c r="M74" i="6" a="1"/>
  <c r="M74" i="6"/>
  <c r="AC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C5" i="7" l="1"/>
  <c r="N18" i="7" s="1" a="1"/>
  <c r="N18" i="7" s="1"/>
  <c r="Z18" i="7" l="1" a="1"/>
  <c r="Z18" i="7" s="1"/>
  <c r="J18" i="7" a="1"/>
  <c r="J18" i="7" s="1"/>
  <c r="W18" i="7" a="1"/>
  <c r="W18" i="7" s="1"/>
  <c r="Y18" i="7" a="1"/>
  <c r="Y18" i="7" s="1"/>
  <c r="M18" i="7" a="1"/>
  <c r="M18" i="7" s="1"/>
  <c r="I18" i="7" a="1"/>
  <c r="I18" i="7" s="1"/>
  <c r="S18" i="7" a="1"/>
  <c r="S18" i="7" s="1"/>
  <c r="T18" i="7" a="1"/>
  <c r="T18" i="7" s="1"/>
  <c r="L18" i="7" a="1"/>
  <c r="L18" i="7" s="1"/>
  <c r="V18" i="7" a="1"/>
  <c r="V18" i="7" s="1"/>
  <c r="U18" i="7" a="1"/>
  <c r="U18" i="7" s="1"/>
  <c r="Q18" i="7" a="1"/>
  <c r="Q18" i="7" s="1"/>
  <c r="H18" i="7" a="1"/>
  <c r="H18" i="7" s="1"/>
  <c r="P18" i="7" a="1"/>
  <c r="P18" i="7" s="1"/>
  <c r="X18" i="7" a="1"/>
  <c r="X18" i="7" s="1"/>
  <c r="K18" i="7" a="1"/>
  <c r="K18" i="7" s="1"/>
  <c r="R18" i="7" a="1"/>
  <c r="R18" i="7" s="1"/>
  <c r="G18" i="7" a="1"/>
  <c r="G18" i="7" s="1"/>
  <c r="O18" i="7" a="1"/>
  <c r="O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<sst xmlns="http://schemas.openxmlformats.org/spreadsheetml/2006/main" count="1799" uniqueCount="162">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</sst>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5" t="s">
        <v>0</v>
      </c>
      <c r="B1" s="145"/>
      <c r="C1" s="13"/>
      <c r="D1" s="13"/>
      <c r="E1" s="13"/>
      <c r="F1" s="13"/>
      <c r="G1" s="13"/>
      <c r="H1" s="13"/>
    </row>
    <row r="2" spans="1:8" ht="15" customHeight="1" x14ac:dyDescent="0.25">
      <c r="A2" s="145"/>
      <c r="B2" s="145"/>
      <c r="C2" s="13"/>
      <c r="D2" s="13"/>
      <c r="E2" s="13"/>
      <c r="F2" s="13"/>
      <c r="G2" s="13"/>
      <c r="H2" s="13"/>
    </row>
    <row r="3" spans="1:8" ht="15" customHeight="1" x14ac:dyDescent="0.25">
      <c r="A3" s="145"/>
      <c r="B3" s="145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6" t="s">
        <v>20</v>
      </c>
      <c r="B1" s="147"/>
      <c r="C1" s="147"/>
      <c r="D1" s="147"/>
      <c r="E1" s="147"/>
      <c r="F1" s="147"/>
      <c r="G1" s="147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48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49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0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1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48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49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0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1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48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49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0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1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48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49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0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1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48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49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0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1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48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49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0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0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0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1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48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49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0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0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0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1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1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workbookViewId="0">
      <pane ySplit="1" topLeftCell="A2" activePane="bottomLeft" state="frozen"/>
      <selection activeCell="S1" sqref="S1"/>
      <selection pane="bottomLeft" activeCell="E6" sqref="E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29" ht="16.5" thickBot="1" x14ac:dyDescent="0.3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3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36" t="s">
        <v>56</v>
      </c>
      <c r="F2" s="137"/>
      <c r="G2" s="138" t="s">
        <v>45</v>
      </c>
      <c r="H2" s="139" t="s">
        <v>44</v>
      </c>
      <c r="I2" s="138" t="s">
        <v>45</v>
      </c>
      <c r="J2" s="138" t="s">
        <v>44</v>
      </c>
      <c r="K2" s="138" t="s">
        <v>46</v>
      </c>
      <c r="L2" s="138" t="s">
        <v>45</v>
      </c>
      <c r="M2" s="138" t="s">
        <v>45</v>
      </c>
      <c r="N2" s="138" t="s">
        <v>45</v>
      </c>
      <c r="O2" s="138" t="s">
        <v>45</v>
      </c>
      <c r="P2" s="138" t="s">
        <v>45</v>
      </c>
      <c r="Q2" s="138" t="s">
        <v>44</v>
      </c>
      <c r="R2" s="138"/>
      <c r="S2" s="138" t="s">
        <v>45</v>
      </c>
      <c r="T2" s="138" t="s">
        <v>45</v>
      </c>
      <c r="U2" s="138" t="s">
        <v>45</v>
      </c>
      <c r="V2" s="138" t="s">
        <v>45</v>
      </c>
      <c r="W2" s="138"/>
      <c r="X2" s="138" t="s">
        <v>44</v>
      </c>
      <c r="Y2" s="138" t="s">
        <v>45</v>
      </c>
      <c r="Z2" s="138"/>
      <c r="AA2" s="66">
        <f>IFERROR(VALUE(TRIM(LEFT($E2,SEARCH("x",$E2)-1))),"")</f>
        <v>0</v>
      </c>
      <c r="AB2" s="73">
        <f>IFERROR(VALUE(TRIM(MID($E2,SEARCH("x",$E2)+1,10))),"")</f>
        <v>1</v>
      </c>
      <c r="AC2" s="71" t="str">
        <f>IF(OR($AA2="",$AB2=""),"",IF($AA2&gt;$AB2,"A",IF($AA2&lt;$AB2,"B","E")))</f>
        <v>B</v>
      </c>
    </row>
    <row r="3" spans="1:29" ht="15.75" thickBot="1" x14ac:dyDescent="0.3">
      <c r="A3" s="143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 t="s">
        <v>44</v>
      </c>
      <c r="H3" s="112" t="s">
        <v>44</v>
      </c>
      <c r="I3" s="65" t="s">
        <v>44</v>
      </c>
      <c r="J3" s="65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45</v>
      </c>
      <c r="Y3" s="65" t="s">
        <v>44</v>
      </c>
      <c r="Z3" s="65" t="s">
        <v>44</v>
      </c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3">
      <c r="A4" s="143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 t="s">
        <v>44</v>
      </c>
      <c r="H4" s="86" t="s">
        <v>45</v>
      </c>
      <c r="I4" s="60" t="s">
        <v>44</v>
      </c>
      <c r="J4" s="60" t="s">
        <v>44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46</v>
      </c>
      <c r="P4" s="60" t="s">
        <v>45</v>
      </c>
      <c r="Q4" s="60" t="s">
        <v>45</v>
      </c>
      <c r="R4" s="60" t="s">
        <v>45</v>
      </c>
      <c r="S4" s="60" t="s">
        <v>44</v>
      </c>
      <c r="T4" s="60" t="s">
        <v>46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44</v>
      </c>
      <c r="Z4" s="60" t="s">
        <v>44</v>
      </c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3">
      <c r="A5" s="144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48</v>
      </c>
      <c r="F5" s="137"/>
      <c r="G5" s="97" t="s">
        <v>44</v>
      </c>
      <c r="H5" s="116" t="s">
        <v>44</v>
      </c>
      <c r="I5" s="97" t="s">
        <v>44</v>
      </c>
      <c r="J5" s="97" t="s">
        <v>44</v>
      </c>
      <c r="K5" s="97" t="s">
        <v>44</v>
      </c>
      <c r="L5" s="97" t="s">
        <v>44</v>
      </c>
      <c r="M5" s="97" t="s">
        <v>44</v>
      </c>
      <c r="N5" s="97" t="s">
        <v>44</v>
      </c>
      <c r="O5" s="97" t="s">
        <v>44</v>
      </c>
      <c r="P5" s="97" t="s">
        <v>44</v>
      </c>
      <c r="Q5" s="97" t="s">
        <v>44</v>
      </c>
      <c r="R5" s="97" t="s">
        <v>44</v>
      </c>
      <c r="S5" s="97" t="s">
        <v>44</v>
      </c>
      <c r="T5" s="97" t="s">
        <v>44</v>
      </c>
      <c r="U5" s="97" t="s">
        <v>44</v>
      </c>
      <c r="V5" s="97" t="s">
        <v>44</v>
      </c>
      <c r="W5" s="97" t="s">
        <v>44</v>
      </c>
      <c r="X5" s="97" t="s">
        <v>44</v>
      </c>
      <c r="Y5" s="97" t="s">
        <v>44</v>
      </c>
      <c r="Z5" s="97" t="s">
        <v>44</v>
      </c>
      <c r="AA5" s="140">
        <f t="shared" si="2"/>
        <v>2</v>
      </c>
      <c r="AB5" s="141">
        <f t="shared" si="3"/>
        <v>1</v>
      </c>
      <c r="AC5" s="142" t="str">
        <f t="shared" si="4"/>
        <v>A</v>
      </c>
    </row>
    <row r="6" spans="1:29" ht="15.75" thickBot="1" x14ac:dyDescent="0.3">
      <c r="A6" s="143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3">
      <c r="A7" s="143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3">
      <c r="A8" s="144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3">
      <c r="A9" s="143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3">
      <c r="A10" s="143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3">
      <c r="A11" s="144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3">
      <c r="A12" s="143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3">
      <c r="A13" s="143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3">
      <c r="A14" s="144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3">
      <c r="A15" s="143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3">
      <c r="A16" s="143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3">
      <c r="A17" s="144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3">
      <c r="F18" s="125" t="s">
        <v>128</v>
      </c>
      <c r="G18" s="124" cm="1">
        <f t="array" ref="G18">SUMPRODUCT(--(UPPER(G2:G17)=$AC$2:$AC$17),--($AC$2:$AC$17&lt;&gt;""))+ORGANIZAÇÃO!G74</f>
        <v>44</v>
      </c>
      <c r="H18" s="93" cm="1">
        <f t="array" ref="H18">SUMPRODUCT(--(UPPER(H2:H17)=$AC$2:$AC$17),--($AC$2:$AC$17&lt;&gt;""))+ORGANIZAÇÃO!H74</f>
        <v>43</v>
      </c>
      <c r="I18" s="93" cm="1">
        <f t="array" ref="I18">SUMPRODUCT(--(UPPER(I2:I17)=$AC$2:$AC$17),--($AC$2:$AC$17&lt;&gt;""))+ORGANIZAÇÃO!I74</f>
        <v>44</v>
      </c>
      <c r="J18" s="93" cm="1">
        <f t="array" ref="J18">SUMPRODUCT(--(UPPER(J2:J17)=$AC$2:$AC$17),--($AC$2:$AC$17&lt;&gt;""))+ORGANIZAÇÃO!J74</f>
        <v>45</v>
      </c>
      <c r="K18" s="93" cm="1">
        <f t="array" ref="K18">SUMPRODUCT(--(UPPER(K2:K17)=$AC$2:$AC$17),--($AC$2:$AC$17&lt;&gt;""))+ORGANIZAÇÃO!K74</f>
        <v>41</v>
      </c>
      <c r="L18" s="93" cm="1">
        <f t="array" ref="L18">SUMPRODUCT(--(UPPER(L2:L17)=$AC$2:$AC$17),--($AC$2:$AC$17&lt;&gt;""))+ORGANIZAÇÃO!L74</f>
        <v>42</v>
      </c>
      <c r="M18" s="93" cm="1">
        <f t="array" ref="M18">SUMPRODUCT(--(UPPER(M2:M17)=$AC$2:$AC$17),--($AC$2:$AC$17&lt;&gt;""))+ORGANIZAÇÃO!M74</f>
        <v>46</v>
      </c>
      <c r="N18" s="93" cm="1">
        <f t="array" ref="N18">SUMPRODUCT(--(UPPER(N2:N17)=$AC$2:$AC$17),--($AC$2:$AC$17&lt;&gt;""))+ORGANIZAÇÃO!N74</f>
        <v>49</v>
      </c>
      <c r="O18" s="93" cm="1">
        <f t="array" ref="O18">SUMPRODUCT(--(UPPER(O2:O17)=$AC$2:$AC$17),--($AC$2:$AC$17&lt;&gt;""))+ORGANIZAÇÃO!O74</f>
        <v>40</v>
      </c>
      <c r="P18" s="93" cm="1">
        <f t="array" ref="P18">SUMPRODUCT(--(UPPER(P2:P17)=$AC$2:$AC$17),--($AC$2:$AC$17&lt;&gt;""))+ORGANIZAÇÃO!P74</f>
        <v>44</v>
      </c>
      <c r="Q18" s="93" cm="1">
        <f t="array" ref="Q18">SUMPRODUCT(--(UPPER(Q2:Q17)=$AC$2:$AC$17),--($AC$2:$AC$17&lt;&gt;""))+ORGANIZAÇÃO!Q74</f>
        <v>40</v>
      </c>
      <c r="R18" s="93" cm="1">
        <f t="array" ref="R18">SUMPRODUCT(--(UPPER(R2:R17)=$AC$2:$AC$17),--($AC$2:$AC$17&lt;&gt;""))+ORGANIZAÇÃO!R74</f>
        <v>38</v>
      </c>
      <c r="S18" s="93" cm="1">
        <f t="array" ref="S18">SUMPRODUCT(--(UPPER(S2:S17)=$AC$2:$AC$17),--($AC$2:$AC$17&lt;&gt;""))+ORGANIZAÇÃO!S74</f>
        <v>37</v>
      </c>
      <c r="T18" s="93" cm="1">
        <f t="array" ref="T18">SUMPRODUCT(--(UPPER(T2:T17)=$AC$2:$AC$17),--($AC$2:$AC$17&lt;&gt;""))+ORGANIZAÇÃO!T74</f>
        <v>38</v>
      </c>
      <c r="U18" s="93" cm="1">
        <f t="array" ref="U18">SUMPRODUCT(--(UPPER(U2:U17)=$AC$2:$AC$17),--($AC$2:$AC$17&lt;&gt;""))+ORGANIZAÇÃO!U74</f>
        <v>43</v>
      </c>
      <c r="V18" s="93" cm="1">
        <f t="array" ref="V18">SUMPRODUCT(--(UPPER(V2:V17)=$AC$2:$AC$17),--($AC$2:$AC$17&lt;&gt;""))+ORGANIZAÇÃO!V74</f>
        <v>40</v>
      </c>
      <c r="W18" s="93" cm="1">
        <f t="array" ref="W18">SUMPRODUCT(--(UPPER(W2:W17)=$AC$2:$AC$17),--($AC$2:$AC$17&lt;&gt;""))+ORGANIZAÇÃO!W74</f>
        <v>42</v>
      </c>
      <c r="X18" s="93" cm="1">
        <f t="array" ref="X18">SUMPRODUCT(--(UPPER(X2:X17)=$AC$2:$AC$17),--($AC$2:$AC$17&lt;&gt;""))+ORGANIZAÇÃO!X74</f>
        <v>39</v>
      </c>
      <c r="Y18" s="93" cm="1">
        <f t="array" ref="Y18">SUMPRODUCT(--(UPPER(Y2:Y17)=$AC$2:$AC$17),--($AC$2:$AC$17&lt;&gt;""))+ORGANIZAÇÃO!Y74</f>
        <v>41</v>
      </c>
      <c r="Z18" s="93" cm="1">
        <f t="array" ref="Z18">SUMPRODUCT(--(UPPER(Z2:Z17)=$AC$2:$AC$17),--($AC$2:$AC$17&lt;&gt;""))+ORGANIZAÇÃO!Z74</f>
        <v>34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2026-06-29T21:00:36Z</dcterms:modified>
  <cp:category/>
  <cp:contentStatus/>
</cp:coreProperties>
</file>