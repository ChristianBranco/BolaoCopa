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8_{007218A1-B94B-7A4F-9895-F63331845DD2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I74" i="6" a="1"/>
  <c r="I74" i="6"/>
  <c r="H74" i="6" a="1"/>
  <c r="H74" i="6"/>
  <c r="T74" i="6" a="1"/>
  <c r="T74" i="6"/>
  <c r="N74" i="6" a="1"/>
  <c r="N74" i="6"/>
  <c r="L74" i="6" a="1"/>
  <c r="L74" i="6"/>
  <c r="G74" i="6" a="1"/>
  <c r="G74" i="6"/>
  <c r="V74" i="6" a="1"/>
  <c r="V74" i="6"/>
  <c r="K74" i="6" a="1"/>
  <c r="K74" i="6"/>
  <c r="M74" i="6" a="1"/>
  <c r="M74" i="6"/>
  <c r="Z74" i="6" a="1"/>
  <c r="Z74" i="6"/>
  <c r="Q74" i="6" a="1"/>
  <c r="Q74" i="6"/>
  <c r="O74" i="6" a="1"/>
  <c r="O74" i="6"/>
  <c r="W74" i="6" a="1"/>
  <c r="W74" i="6"/>
  <c r="U74" i="6" a="1"/>
  <c r="U74" i="6"/>
  <c r="S74" i="6" a="1"/>
  <c r="S74" i="6"/>
  <c r="R74" i="6" a="1"/>
  <c r="R74" i="6"/>
  <c r="X74" i="6" a="1"/>
  <c r="X74" i="6"/>
  <c r="J74" i="6" a="1"/>
  <c r="J74" i="6"/>
  <c r="P74" i="6" a="1"/>
  <c r="P74" i="6"/>
  <c r="Y74" i="6" a="1"/>
  <c r="Y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<sst xmlns="http://schemas.openxmlformats.org/spreadsheetml/2006/main" count="1023" uniqueCount="137">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</sst>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8">
  <autoFilter ref="A4:B20" xr:uid="{49FA96F6-1C29-4184-8466-79C03B42EAD6}"/>
  <tableColumns count="2">
    <tableColumn id="1" xr3:uid="{377F1B03-9BE9-462A-A1BC-1F8EE6567180}" name="Participantes" dataDxfId="7"/>
    <tableColumn id="3" xr3:uid="{EF301B8F-51D1-4897-A7D7-3E56DAA9D6FC}" name="Pago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5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4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AC1" zoomScaleNormal="100" workbookViewId="0">
      <pane ySplit="1" topLeftCell="AC23" activePane="bottomLeft" state="frozen"/>
      <selection activeCell="B1" sqref="B1"/>
      <selection pane="bottomLeft" activeCell="E39" sqref="E39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25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">
      <c r="A6" s="107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">
      <c r="A7" s="108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">
      <c r="A8" s="109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">
      <c r="A9" s="110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">
      <c r="A10" s="103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">
      <c r="A11" s="104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">
      <c r="A12" s="105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">
      <c r="A13" s="106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">
      <c r="A14" s="107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">
      <c r="A15" s="108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25">
      <c r="A16" s="109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25">
      <c r="A17" s="110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25">
      <c r="A18" s="103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">
      <c r="A19" s="104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">
      <c r="A20" s="105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25">
      <c r="A21" s="106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25">
      <c r="A22" s="107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25">
      <c r="A23" s="108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25">
      <c r="A24" s="109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25">
      <c r="A25" s="110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25">
      <c r="A26" s="103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6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25">
      <c r="A27" s="104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8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25">
      <c r="A28" s="105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9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25">
      <c r="A29" s="106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20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25">
      <c r="A30" s="107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16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 x14ac:dyDescent="0.25">
      <c r="A31" s="108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18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 x14ac:dyDescent="0.25">
      <c r="A32" s="109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9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25">
      <c r="A33" s="110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20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 x14ac:dyDescent="0.25">
      <c r="A34" s="103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48</v>
      </c>
      <c r="F34" s="116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>
        <f t="shared" si="5"/>
        <v>2</v>
      </c>
      <c r="AB34" s="90">
        <f t="shared" si="6"/>
        <v>1</v>
      </c>
      <c r="AC34" s="85" t="str">
        <f t="shared" si="4"/>
        <v>A</v>
      </c>
      <c r="AD34" s="54"/>
    </row>
    <row r="35" spans="1:30" ht="15.75" thickBot="1" x14ac:dyDescent="0.25">
      <c r="A35" s="104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69</v>
      </c>
      <c r="F35" s="118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 t="s">
        <v>44</v>
      </c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>
        <f t="shared" si="5"/>
        <v>0</v>
      </c>
      <c r="AB35" s="90">
        <f t="shared" si="6"/>
        <v>0</v>
      </c>
      <c r="AC35" s="85" t="str">
        <f t="shared" si="4"/>
        <v>E</v>
      </c>
      <c r="AD35" s="54"/>
    </row>
    <row r="36" spans="1:30" ht="15.75" thickBot="1" x14ac:dyDescent="0.25">
      <c r="A36" s="105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19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 x14ac:dyDescent="0.25">
      <c r="A37" s="106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135</v>
      </c>
      <c r="F37" s="120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>
        <f t="shared" si="5"/>
        <v>0</v>
      </c>
      <c r="AB37" s="90">
        <f t="shared" si="6"/>
        <v>4</v>
      </c>
      <c r="AC37" s="85" t="str">
        <f t="shared" si="4"/>
        <v>B</v>
      </c>
      <c r="AD37" s="54"/>
    </row>
    <row r="38" spans="1:30" ht="15.75" thickBot="1" x14ac:dyDescent="0.25">
      <c r="A38" s="107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69</v>
      </c>
      <c r="F38" s="116"/>
      <c r="G38" s="60" t="s">
        <v>44</v>
      </c>
      <c r="H38" s="61" t="s">
        <v>44</v>
      </c>
      <c r="I38" s="61" t="s">
        <v>44</v>
      </c>
      <c r="J38" s="61" t="s">
        <v>44</v>
      </c>
      <c r="K38" s="61" t="s">
        <v>44</v>
      </c>
      <c r="L38" s="61" t="s">
        <v>44</v>
      </c>
      <c r="M38" s="61" t="s">
        <v>44</v>
      </c>
      <c r="N38" s="61" t="s">
        <v>44</v>
      </c>
      <c r="O38" s="61" t="s">
        <v>44</v>
      </c>
      <c r="P38" s="61" t="s">
        <v>44</v>
      </c>
      <c r="Q38" s="61" t="s">
        <v>44</v>
      </c>
      <c r="R38" s="61"/>
      <c r="S38" s="61" t="s">
        <v>46</v>
      </c>
      <c r="T38" s="61" t="s">
        <v>44</v>
      </c>
      <c r="U38" s="62" t="s">
        <v>44</v>
      </c>
      <c r="V38" s="56" t="s">
        <v>46</v>
      </c>
      <c r="W38" s="62" t="s">
        <v>46</v>
      </c>
      <c r="X38" s="62" t="s">
        <v>44</v>
      </c>
      <c r="Y38" s="62" t="s">
        <v>44</v>
      </c>
      <c r="Z38" s="76" t="s">
        <v>46</v>
      </c>
      <c r="AA38" s="81">
        <f t="shared" si="5"/>
        <v>0</v>
      </c>
      <c r="AB38" s="90">
        <f t="shared" si="6"/>
        <v>0</v>
      </c>
      <c r="AC38" s="85" t="str">
        <f t="shared" si="4"/>
        <v>E</v>
      </c>
      <c r="AD38" s="54"/>
    </row>
    <row r="39" spans="1:30" ht="15.75" thickBot="1" x14ac:dyDescent="0.25">
      <c r="A39" s="108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133</v>
      </c>
      <c r="F39" s="118"/>
      <c r="G39" s="63" t="s">
        <v>46</v>
      </c>
      <c r="H39" s="71" t="s">
        <v>44</v>
      </c>
      <c r="I39" s="71" t="s">
        <v>45</v>
      </c>
      <c r="J39" s="71" t="s">
        <v>46</v>
      </c>
      <c r="K39" s="71" t="s">
        <v>46</v>
      </c>
      <c r="L39" s="71" t="s">
        <v>46</v>
      </c>
      <c r="M39" s="71" t="s">
        <v>45</v>
      </c>
      <c r="N39" s="71" t="s">
        <v>45</v>
      </c>
      <c r="O39" s="71" t="s">
        <v>45</v>
      </c>
      <c r="P39" s="71" t="s">
        <v>45</v>
      </c>
      <c r="Q39" s="71" t="s">
        <v>44</v>
      </c>
      <c r="R39" s="71" t="s">
        <v>44</v>
      </c>
      <c r="S39" s="71" t="s">
        <v>46</v>
      </c>
      <c r="T39" s="71" t="s">
        <v>45</v>
      </c>
      <c r="U39" s="56" t="s">
        <v>45</v>
      </c>
      <c r="V39" s="59" t="s">
        <v>45</v>
      </c>
      <c r="W39" s="56" t="s">
        <v>46</v>
      </c>
      <c r="X39" s="56" t="s">
        <v>45</v>
      </c>
      <c r="Y39" s="56" t="s">
        <v>44</v>
      </c>
      <c r="Z39" s="80" t="s">
        <v>45</v>
      </c>
      <c r="AA39" s="81">
        <f t="shared" si="5"/>
        <v>1</v>
      </c>
      <c r="AB39" s="90">
        <f t="shared" si="6"/>
        <v>3</v>
      </c>
      <c r="AC39" s="85" t="str">
        <f t="shared" si="4"/>
        <v>B</v>
      </c>
      <c r="AD39" s="54"/>
    </row>
    <row r="40" spans="1:30" ht="15.75" thickBot="1" x14ac:dyDescent="0.25">
      <c r="A40" s="109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136</v>
      </c>
      <c r="F40" s="119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78" t="s">
        <v>44</v>
      </c>
      <c r="AA40" s="81">
        <f t="shared" si="5"/>
        <v>4</v>
      </c>
      <c r="AB40" s="90">
        <f t="shared" si="6"/>
        <v>0</v>
      </c>
      <c r="AC40" s="85" t="str">
        <f t="shared" si="4"/>
        <v>A</v>
      </c>
      <c r="AD40" s="54"/>
    </row>
    <row r="41" spans="1:30" ht="15.75" thickBot="1" x14ac:dyDescent="0.25">
      <c r="A41" s="110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63</v>
      </c>
      <c r="F41" s="120"/>
      <c r="G41" s="68" t="s">
        <v>44</v>
      </c>
      <c r="H41" s="69" t="s">
        <v>44</v>
      </c>
      <c r="I41" s="69" t="s">
        <v>44</v>
      </c>
      <c r="J41" s="69" t="s">
        <v>44</v>
      </c>
      <c r="K41" s="69" t="s">
        <v>44</v>
      </c>
      <c r="L41" s="69" t="s">
        <v>44</v>
      </c>
      <c r="M41" s="69" t="s">
        <v>44</v>
      </c>
      <c r="N41" s="69" t="s">
        <v>44</v>
      </c>
      <c r="O41" s="69" t="s">
        <v>44</v>
      </c>
      <c r="P41" s="69" t="s">
        <v>44</v>
      </c>
      <c r="Q41" s="69" t="s">
        <v>46</v>
      </c>
      <c r="R41" s="69"/>
      <c r="S41" s="69" t="s">
        <v>44</v>
      </c>
      <c r="T41" s="69" t="s">
        <v>44</v>
      </c>
      <c r="U41" s="70" t="s">
        <v>44</v>
      </c>
      <c r="V41" s="70" t="s">
        <v>44</v>
      </c>
      <c r="W41" s="70" t="s">
        <v>44</v>
      </c>
      <c r="X41" s="70" t="s">
        <v>44</v>
      </c>
      <c r="Y41" s="70" t="s">
        <v>44</v>
      </c>
      <c r="Z41" s="79" t="s">
        <v>46</v>
      </c>
      <c r="AA41" s="81">
        <f t="shared" si="5"/>
        <v>2</v>
      </c>
      <c r="AB41" s="90">
        <f t="shared" si="6"/>
        <v>2</v>
      </c>
      <c r="AC41" s="85" t="str">
        <f t="shared" si="4"/>
        <v>E</v>
      </c>
      <c r="AD41" s="54"/>
    </row>
    <row r="42" spans="1:30" ht="15.75" thickBot="1" x14ac:dyDescent="0.25">
      <c r="A42" s="103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25">
      <c r="A43" s="104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25">
      <c r="A44" s="105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25">
      <c r="A45" s="106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25">
      <c r="A46" s="107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25">
      <c r="A47" s="108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25">
      <c r="A48" s="109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25">
      <c r="A49" s="110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25">
      <c r="A50" s="103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25">
      <c r="A51" s="104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25">
      <c r="A52" s="105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25">
      <c r="A53" s="105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25">
      <c r="A54" s="105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25">
      <c r="A55" s="106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25">
      <c r="A56" s="107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25">
      <c r="A57" s="108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25">
      <c r="A58" s="109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25">
      <c r="A59" s="109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25">
      <c r="A60" s="109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25">
      <c r="A61" s="110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25">
      <c r="A62" s="103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25">
      <c r="A63" s="104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25">
      <c r="A64" s="105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25">
      <c r="A65" s="105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25">
      <c r="A66" s="105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25">
      <c r="A67" s="106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25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25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25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25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25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25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25">
      <c r="F74" s="19" t="s">
        <v>129</v>
      </c>
      <c r="G74" s="74" cm="1">
        <f t="array" ref="G74">SUMPRODUCT(--(UPPER(G2:G73)=$AC$2:$AC$73),--($AC$2:$AC$73&lt;&gt;""))</f>
        <v>21</v>
      </c>
      <c r="H74" s="74" cm="1">
        <f t="array" ref="H74">SUMPRODUCT(--(UPPER(H2:H73)=$AC$2:$AC$73),--($AC$2:$AC$73&lt;&gt;""))</f>
        <v>21</v>
      </c>
      <c r="I74" s="74" cm="1">
        <f t="array" ref="I74">SUMPRODUCT(--(UPPER(I2:I73)=$AC$2:$AC$73),--($AC$2:$AC$73&lt;&gt;""))</f>
        <v>21</v>
      </c>
      <c r="J74" s="74" cm="1">
        <f t="array" ref="J74">SUMPRODUCT(--(UPPER(J2:J73)=$AC$2:$AC$73),--($AC$2:$AC$73&lt;&gt;""))</f>
        <v>22</v>
      </c>
      <c r="K74" s="74" cm="1">
        <f t="array" ref="K74">SUMPRODUCT(--(UPPER(K2:K73)=$AC$2:$AC$73),--($AC$2:$AC$73&lt;&gt;""))</f>
        <v>21</v>
      </c>
      <c r="L74" s="74" cm="1">
        <f t="array" ref="L74">SUMPRODUCT(--(UPPER(L2:L73)=$AC$2:$AC$73),--($AC$2:$AC$73&lt;&gt;""))</f>
        <v>20</v>
      </c>
      <c r="M74" s="74" cm="1">
        <f t="array" ref="M74">SUMPRODUCT(--(UPPER(M2:M73)=$AC$2:$AC$73),--($AC$2:$AC$73&lt;&gt;""))</f>
        <v>23</v>
      </c>
      <c r="N74" s="74" cm="1">
        <f t="array" ref="N74">SUMPRODUCT(--(UPPER(N2:N73)=$AC$2:$AC$73),--($AC$2:$AC$73&lt;&gt;""))</f>
        <v>25</v>
      </c>
      <c r="O74" s="74" cm="1">
        <f t="array" ref="O74">SUMPRODUCT(--(UPPER(O2:O73)=$AC$2:$AC$73),--($AC$2:$AC$73&lt;&gt;""))</f>
        <v>20</v>
      </c>
      <c r="P74" s="74" cm="1">
        <f t="array" ref="P74">SUMPRODUCT(--(UPPER(P2:P73)=$AC$2:$AC$73),--($AC$2:$AC$73&lt;&gt;""))</f>
        <v>23</v>
      </c>
      <c r="Q74" s="74" cm="1">
        <f t="array" ref="Q74">SUMPRODUCT(--(UPPER(Q2:Q73)=$AC$2:$AC$73),--($AC$2:$AC$73&lt;&gt;""))</f>
        <v>20</v>
      </c>
      <c r="R74" s="74" cm="1">
        <f t="array" ref="R74">SUMPRODUCT(--(UPPER(R2:R73)=$AC$2:$AC$73),--($AC$2:$AC$73&lt;&gt;""))</f>
        <v>19</v>
      </c>
      <c r="S74" s="74" cm="1">
        <f t="array" ref="S74">SUMPRODUCT(--(UPPER(S2:S73)=$AC$2:$AC$73),--($AC$2:$AC$73&lt;&gt;""))</f>
        <v>16</v>
      </c>
      <c r="T74" s="74" cm="1">
        <f t="array" ref="T74">SUMPRODUCT(--(UPPER(T2:T73)=$AC$2:$AC$73),--($AC$2:$AC$73&lt;&gt;""))</f>
        <v>17</v>
      </c>
      <c r="U74" s="74" cm="1">
        <f t="array" ref="U74">SUMPRODUCT(--(UPPER(U2:U73)=$AC$2:$AC$73),--($AC$2:$AC$73&lt;&gt;""))</f>
        <v>23</v>
      </c>
      <c r="V74" s="74" cm="1">
        <f t="array" ref="V74">SUMPRODUCT(--(UPPER(V2:V73)=$AC$2:$AC$73),--($AC$2:$AC$73&lt;&gt;""))</f>
        <v>20</v>
      </c>
      <c r="W74" s="74" cm="1">
        <f t="array" ref="W74">SUMPRODUCT(--(UPPER(W2:W73)=$AC$2:$AC$73),--($AC$2:$AC$73&lt;&gt;""))</f>
        <v>22</v>
      </c>
      <c r="X74" s="74" cm="1">
        <f t="array" ref="X74">SUMPRODUCT(--(UPPER(X2:X73)=$AC$2:$AC$73),--($AC$2:$AC$73&lt;&gt;""))</f>
        <v>19</v>
      </c>
      <c r="Y74" s="74" cm="1">
        <f t="array" ref="Y74">SUMPRODUCT(--(UPPER(Y2:Y73)=$AC$2:$AC$73),--($AC$2:$AC$73&lt;&gt;""))</f>
        <v>21</v>
      </c>
      <c r="Z74" s="74" cm="1">
        <f t="array" ref="Z74">SUMPRODUCT(--(UPPER(Z2:Z73)=$AC$2:$AC$73),--($AC$2:$AC$73&lt;&gt;""))</f>
        <v>20</v>
      </c>
    </row>
  </sheetData>
  <mergeCells count="18"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</mergeCells>
  <phoneticPr fontId="15" type="noConversion"/>
  <conditionalFormatting sqref="G2:Z37 G38:U39 W38:Z39 V39 G40:Z52 G53:W53 Y53:Z53 G54:Z73">
    <cfRule type="expression" dxfId="3" priority="1">
      <formula>AND($AC2&lt;&gt;"",G2=$AC2)</formula>
    </cfRule>
    <cfRule type="expression" dxfId="2" priority="2">
      <formula>AND($AC2&lt;&gt;"",G2&lt;&gt;"",G2&lt;&gt;$AC2)</formula>
    </cfRule>
  </conditionalFormatting>
  <conditionalFormatting sqref="V38">
    <cfRule type="expression" dxfId="1" priority="5">
      <formula>AND($AC39&lt;&gt;"",V38=$AC39)</formula>
    </cfRule>
    <cfRule type="expression" dxfId="0" priority="6">
      <formula>AND($AC39&lt;&gt;"",V38&lt;&gt;"",V38&lt;&gt;$AC39)</formula>
    </cfRule>
  </conditionalFormatting>
  <dataValidations count="1">
    <dataValidation type="list" allowBlank="1" showInputMessage="1" showErrorMessage="1" sqref="Y2:Z73 X2:X52 X54:X73 W39 G40:W73 G39:U39 G2:W38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2026-06-22T00:16:01Z</dcterms:modified>
  <cp:category/>
  <cp:contentStatus/>
</cp:coreProperties>
</file>