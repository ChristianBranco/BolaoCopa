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itHub\BolaoCopa\"/>
    </mc:Choice>
  </mc:AlternateContent>
  <xr:revisionPtr revIDLastSave="0" documentId="13_ncr:1_{1EF39674-143D-4550-AC38-08BC1F5BC1B5}" xr6:coauthVersionLast="47" xr6:coauthVersionMax="47" xr10:uidLastSave="{00000000-0000-0000-0000-000000000000}"/>
  <bookViews>
    <workbookView xWindow="-120" yWindow="-120" windowWidth="29040" windowHeight="15720" firstSheet="2" activeTab="2" xr2:uid="{126756CB-841B-4483-9AA9-4CA1801C3655}"/>
  </bookViews>
  <sheets>
    <sheet name="Pagamentos" sheetId="1" r:id="rId1"/>
    <sheet name="Apuração" sheetId="3" state="hidden" r:id="rId2"/>
    <sheet name="ORGANIZAÇÃO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C4" i="6" l="1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A4" i="6"/>
  <c r="AA5" i="6"/>
  <c r="AA6" i="6"/>
  <c r="AC6" i="6"/>
  <c r="AA7" i="6"/>
  <c r="AC7" i="6"/>
  <c r="AA8" i="6"/>
  <c r="AC8" i="6"/>
  <c r="AA9" i="6"/>
  <c r="AC9" i="6"/>
  <c r="AA10" i="6"/>
  <c r="AC10" i="6"/>
  <c r="AA11" i="6"/>
  <c r="AC11" i="6"/>
  <c r="AA12" i="6"/>
  <c r="AC12" i="6"/>
  <c r="AA13" i="6"/>
  <c r="AC13" i="6"/>
  <c r="AA14" i="6"/>
  <c r="AC14" i="6"/>
  <c r="AA15" i="6"/>
  <c r="AC15" i="6"/>
  <c r="AA16" i="6"/>
  <c r="AC16" i="6"/>
  <c r="AA17" i="6"/>
  <c r="AC17" i="6"/>
  <c r="AA18" i="6"/>
  <c r="AC18" i="6"/>
  <c r="AA19" i="6"/>
  <c r="AC19" i="6"/>
  <c r="AA20" i="6"/>
  <c r="AC20" i="6"/>
  <c r="AA21" i="6"/>
  <c r="AC21" i="6"/>
  <c r="AA22" i="6"/>
  <c r="AC22" i="6"/>
  <c r="AA23" i="6"/>
  <c r="AA24" i="6"/>
  <c r="AA25" i="6"/>
  <c r="AA26" i="6"/>
  <c r="AA27" i="6"/>
  <c r="AC27" i="6"/>
  <c r="AA28" i="6"/>
  <c r="AC28" i="6"/>
  <c r="AA29" i="6"/>
  <c r="AC29" i="6"/>
  <c r="AA30" i="6"/>
  <c r="AC30" i="6"/>
  <c r="AA31" i="6"/>
  <c r="AC31" i="6"/>
  <c r="AA32" i="6"/>
  <c r="AC32" i="6"/>
  <c r="AA33" i="6"/>
  <c r="AC33" i="6"/>
  <c r="AA34" i="6"/>
  <c r="AA35" i="6"/>
  <c r="AC35" i="6"/>
  <c r="AA36" i="6"/>
  <c r="AC36" i="6"/>
  <c r="AA37" i="6"/>
  <c r="AC37" i="6"/>
  <c r="AA38" i="6"/>
  <c r="AC38" i="6"/>
  <c r="AA39" i="6"/>
  <c r="AC39" i="6"/>
  <c r="AA40" i="6"/>
  <c r="AC40" i="6"/>
  <c r="AA41" i="6"/>
  <c r="AC41" i="6"/>
  <c r="AA42" i="6"/>
  <c r="AC42" i="6"/>
  <c r="AA43" i="6"/>
  <c r="AC43" i="6"/>
  <c r="AA44" i="6"/>
  <c r="AC44" i="6"/>
  <c r="AA45" i="6"/>
  <c r="AC45" i="6"/>
  <c r="AA46" i="6"/>
  <c r="AC46" i="6"/>
  <c r="AA47" i="6"/>
  <c r="AC47" i="6"/>
  <c r="AA48" i="6"/>
  <c r="AC48" i="6"/>
  <c r="AA49" i="6"/>
  <c r="AC49" i="6"/>
  <c r="AA50" i="6"/>
  <c r="AC50" i="6"/>
  <c r="AA51" i="6"/>
  <c r="AC51" i="6"/>
  <c r="AA52" i="6"/>
  <c r="AC52" i="6"/>
  <c r="AA53" i="6"/>
  <c r="AC53" i="6"/>
  <c r="AA54" i="6"/>
  <c r="AC54" i="6"/>
  <c r="AA55" i="6"/>
  <c r="AC55" i="6"/>
  <c r="AA56" i="6"/>
  <c r="AC56" i="6"/>
  <c r="AA57" i="6"/>
  <c r="AC57" i="6"/>
  <c r="AA58" i="6"/>
  <c r="AC58" i="6"/>
  <c r="AA59" i="6"/>
  <c r="AC59" i="6"/>
  <c r="AA60" i="6"/>
  <c r="AC60" i="6"/>
  <c r="AA61" i="6"/>
  <c r="AC61" i="6"/>
  <c r="AA62" i="6"/>
  <c r="AC62" i="6"/>
  <c r="AA63" i="6"/>
  <c r="AC63" i="6"/>
  <c r="AA64" i="6"/>
  <c r="AC64" i="6"/>
  <c r="AA65" i="6"/>
  <c r="AC65" i="6"/>
  <c r="AA66" i="6"/>
  <c r="AC66" i="6"/>
  <c r="AA67" i="6"/>
  <c r="AC67" i="6"/>
  <c r="AA68" i="6"/>
  <c r="AC68" i="6"/>
  <c r="AA69" i="6"/>
  <c r="AC69" i="6"/>
  <c r="AA70" i="6"/>
  <c r="AC70" i="6"/>
  <c r="AA71" i="6"/>
  <c r="AC71" i="6"/>
  <c r="AA72" i="6"/>
  <c r="AC72" i="6"/>
  <c r="AA73" i="6"/>
  <c r="AC73" i="6"/>
  <c r="AA3" i="6"/>
  <c r="AC3" i="6"/>
  <c r="AB3" i="6"/>
  <c r="AA2" i="6"/>
  <c r="AC2" i="6"/>
  <c r="AB2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C16" i="3" a="1"/>
  <c r="C16" i="3"/>
  <c r="D16" i="3"/>
  <c r="C7" i="3" a="1"/>
  <c r="C7" i="3"/>
  <c r="D7" i="3"/>
  <c r="C6" i="3" a="1"/>
  <c r="C6" i="3"/>
  <c r="D6" i="3"/>
  <c r="A17" i="3"/>
  <c r="C17" i="3" a="1"/>
  <c r="C17" i="3"/>
  <c r="D17" i="3"/>
  <c r="A16" i="3"/>
  <c r="A15" i="3"/>
  <c r="C15" i="3" a="1"/>
  <c r="C15" i="3"/>
  <c r="D15" i="3"/>
  <c r="A14" i="3"/>
  <c r="C14" i="3" a="1"/>
  <c r="C14" i="3"/>
  <c r="D14" i="3"/>
  <c r="A13" i="3"/>
  <c r="C13" i="3" a="1"/>
  <c r="C13" i="3"/>
  <c r="D13" i="3"/>
  <c r="A12" i="3"/>
  <c r="C12" i="3" a="1"/>
  <c r="C12" i="3"/>
  <c r="D12" i="3"/>
  <c r="A11" i="3"/>
  <c r="C11" i="3" a="1"/>
  <c r="C11" i="3"/>
  <c r="D11" i="3"/>
  <c r="A10" i="3"/>
  <c r="C10" i="3" a="1"/>
  <c r="C10" i="3"/>
  <c r="D10" i="3"/>
  <c r="A9" i="3"/>
  <c r="C9" i="3" a="1"/>
  <c r="C9" i="3"/>
  <c r="D9" i="3"/>
  <c r="A8" i="3"/>
  <c r="C8" i="3" a="1"/>
  <c r="C8" i="3"/>
  <c r="D8" i="3"/>
  <c r="A7" i="3"/>
  <c r="A6" i="3"/>
  <c r="A5" i="3"/>
  <c r="C5" i="3" a="1"/>
  <c r="C5" i="3"/>
  <c r="D5" i="3"/>
  <c r="A4" i="3"/>
  <c r="C4" i="3" a="1"/>
  <c r="C4" i="3"/>
  <c r="D4" i="3"/>
  <c r="AC5" i="6"/>
  <c r="E10" i="3"/>
  <c r="E14" i="3"/>
  <c r="E6" i="3"/>
  <c r="E8" i="3"/>
  <c r="E11" i="3"/>
  <c r="E15" i="3"/>
  <c r="E7" i="3"/>
  <c r="E13" i="3"/>
  <c r="E16" i="3"/>
  <c r="E9" i="3"/>
  <c r="E12" i="3"/>
  <c r="E4" i="3"/>
  <c r="E5" i="3"/>
  <c r="E17" i="3"/>
  <c r="AC23" i="6"/>
  <c r="AC24" i="6"/>
  <c r="AC25" i="6"/>
  <c r="AC26" i="6"/>
  <c r="AC34" i="6"/>
  <c r="P74" i="6" a="1"/>
  <c r="P74" i="6"/>
  <c r="I74" i="6" a="1"/>
  <c r="I74" i="6"/>
  <c r="N74" i="6" a="1"/>
  <c r="N74" i="6"/>
  <c r="V74" i="6" a="1"/>
  <c r="V74" i="6"/>
  <c r="Q74" i="6" a="1"/>
  <c r="Q74" i="6"/>
  <c r="S74" i="6" a="1"/>
  <c r="S74" i="6"/>
  <c r="O74" i="6" a="1"/>
  <c r="O74" i="6"/>
  <c r="H74" i="6" a="1"/>
  <c r="H74" i="6"/>
  <c r="T74" i="6" a="1"/>
  <c r="T74" i="6"/>
  <c r="G74" i="6" a="1"/>
  <c r="G74" i="6"/>
  <c r="M74" i="6" a="1"/>
  <c r="M74" i="6"/>
  <c r="W74" i="6" a="1"/>
  <c r="W74" i="6"/>
  <c r="U74" i="6" a="1"/>
  <c r="U74" i="6"/>
  <c r="X74" i="6" a="1"/>
  <c r="X74" i="6"/>
  <c r="L74" i="6" a="1"/>
  <c r="L74" i="6"/>
  <c r="K74" i="6" a="1"/>
  <c r="K74" i="6"/>
  <c r="Z74" i="6" a="1"/>
  <c r="Z74" i="6"/>
  <c r="R74" i="6" a="1"/>
  <c r="R74" i="6"/>
  <c r="J74" i="6" a="1"/>
  <c r="J74" i="6"/>
  <c r="Y74" i="6" a="1"/>
  <c r="Y7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<sst xmlns="http://schemas.openxmlformats.org/spreadsheetml/2006/main" count="1022" uniqueCount="137">
  <si>
    <t>BOLÃO DA COPA 2026</t>
  </si>
  <si>
    <t>Participantes</t>
  </si>
  <si>
    <t>Pago</t>
  </si>
  <si>
    <t>Alex</t>
  </si>
  <si>
    <t>Ok</t>
  </si>
  <si>
    <t>Bonfim</t>
  </si>
  <si>
    <t>Christian</t>
  </si>
  <si>
    <t>Daniel</t>
  </si>
  <si>
    <t>Douglas</t>
  </si>
  <si>
    <t>Dunga</t>
  </si>
  <si>
    <t>Gabriel</t>
  </si>
  <si>
    <t>Gustavo</t>
  </si>
  <si>
    <t>Gustavo Lima</t>
  </si>
  <si>
    <t>Heitor</t>
  </si>
  <si>
    <t>Leonardo</t>
  </si>
  <si>
    <t>Patrick</t>
  </si>
  <si>
    <t>Rasta</t>
  </si>
  <si>
    <t>Renan</t>
  </si>
  <si>
    <t>Felipe</t>
  </si>
  <si>
    <t>Sanches</t>
  </si>
  <si>
    <t>APURAÇÃO — RANKING DO BOLÃO COPA 2026</t>
  </si>
  <si>
    <t>#</t>
  </si>
  <si>
    <t>Participante</t>
  </si>
  <si>
    <t>Acertos</t>
  </si>
  <si>
    <t>Pontos</t>
  </si>
  <si>
    <t>Posição</t>
  </si>
  <si>
    <t>Pontos por acerto</t>
  </si>
  <si>
    <t>Por acerto</t>
  </si>
  <si>
    <t>Como funciona</t>
  </si>
  <si>
    <t>Preencha a coluna 'Result.' na aba de palpites (A/E/B). O ranking atualiza sozinho.</t>
  </si>
  <si>
    <t>DATAS</t>
  </si>
  <si>
    <t>CONFRONTOS</t>
  </si>
  <si>
    <t>TIME A</t>
  </si>
  <si>
    <t>TIME B</t>
  </si>
  <si>
    <t>PLACAR</t>
  </si>
  <si>
    <t>Cleiton</t>
  </si>
  <si>
    <t>David</t>
  </si>
  <si>
    <t>Giliarde</t>
  </si>
  <si>
    <t>Juninho</t>
  </si>
  <si>
    <t>Gols A</t>
  </si>
  <si>
    <t>Gols B</t>
  </si>
  <si>
    <t>RESULTADO</t>
  </si>
  <si>
    <t>México x África do Sul</t>
  </si>
  <si>
    <t>2x0</t>
  </si>
  <si>
    <t>A</t>
  </si>
  <si>
    <t>B</t>
  </si>
  <si>
    <t>E</t>
  </si>
  <si>
    <t>Coreia do Sul x Tchéquia</t>
  </si>
  <si>
    <t>2x1</t>
  </si>
  <si>
    <t>Canadá x Bósnia e Herzeg.</t>
  </si>
  <si>
    <t>1x1</t>
  </si>
  <si>
    <t>Estados Unidos x Paraguai</t>
  </si>
  <si>
    <t>4x1</t>
  </si>
  <si>
    <t>Catar x Suíça</t>
  </si>
  <si>
    <t>Brasil x Marrocos</t>
  </si>
  <si>
    <t>Haiti x Escócia</t>
  </si>
  <si>
    <t>0x1</t>
  </si>
  <si>
    <t>Austrália x Turquia</t>
  </si>
  <si>
    <t>Alemanha x Curaçao</t>
  </si>
  <si>
    <t>7x1</t>
  </si>
  <si>
    <t>Costa do Marfim x Equador</t>
  </si>
  <si>
    <t>1x0</t>
  </si>
  <si>
    <t>Países Baixos x Japão</t>
  </si>
  <si>
    <t>2x2</t>
  </si>
  <si>
    <t>Suécia x Tunísia</t>
  </si>
  <si>
    <t>5x1</t>
  </si>
  <si>
    <t>Bélgica x Egito</t>
  </si>
  <si>
    <t>Irã x Nova Zelândia</t>
  </si>
  <si>
    <t>Espanha x Cabo Verde</t>
  </si>
  <si>
    <t>0x0</t>
  </si>
  <si>
    <t>Arábia Saudita x Uruguai</t>
  </si>
  <si>
    <t>França x Senegal</t>
  </si>
  <si>
    <t>3x1</t>
  </si>
  <si>
    <t>Iraque x Noruega</t>
  </si>
  <si>
    <t>#x#</t>
  </si>
  <si>
    <t>Argentina x Argélia</t>
  </si>
  <si>
    <t>Áustria x Jordânia</t>
  </si>
  <si>
    <t>Portugal x Rep. Dem. Congo</t>
  </si>
  <si>
    <t>Uzbequistão x Colômbia</t>
  </si>
  <si>
    <t>Inglaterra x Croácia</t>
  </si>
  <si>
    <t>Gana x Panamá</t>
  </si>
  <si>
    <t>Tchéquia x África do Sul</t>
  </si>
  <si>
    <t>México x Coreia do Sul</t>
  </si>
  <si>
    <t>Suíça x Bósnia e Herzeg.</t>
  </si>
  <si>
    <t>Canadá x Catar</t>
  </si>
  <si>
    <t>Escócia x Marrocos</t>
  </si>
  <si>
    <t>Brasil x Haiti</t>
  </si>
  <si>
    <t>Estados Unidos x Austrália</t>
  </si>
  <si>
    <t>Turquia x Paraguai</t>
  </si>
  <si>
    <t>Alemanha x Costa do Marfim</t>
  </si>
  <si>
    <t>Equador x Curaçao</t>
  </si>
  <si>
    <t>Países Baixos x Suécia</t>
  </si>
  <si>
    <t>Tunísia x Japão</t>
  </si>
  <si>
    <t>Bélgica x Irã</t>
  </si>
  <si>
    <t>Nova Zelândia x Egito</t>
  </si>
  <si>
    <t>Espanha x Arábia Saudita</t>
  </si>
  <si>
    <t>Uruguai x Cabo Verde</t>
  </si>
  <si>
    <t>França x Iraque</t>
  </si>
  <si>
    <t>Noruega x Senegal</t>
  </si>
  <si>
    <t>Argentina x Áustria</t>
  </si>
  <si>
    <t>Jordânia x Argélia</t>
  </si>
  <si>
    <t>Portugal x Uzbequistão</t>
  </si>
  <si>
    <t>Colômbia x Rep. Dem. Congo</t>
  </si>
  <si>
    <t>Inglaterra x Gana</t>
  </si>
  <si>
    <t>Panamá x Croácia</t>
  </si>
  <si>
    <t>África do Sul x Coreia do Sul</t>
  </si>
  <si>
    <t>Tchéquia x México</t>
  </si>
  <si>
    <t>Suíça x Canadá</t>
  </si>
  <si>
    <t>Bósnia e Herzeg. x Catar</t>
  </si>
  <si>
    <t>Marrocos x Haiti</t>
  </si>
  <si>
    <t>Escócia x Brasil</t>
  </si>
  <si>
    <t>Turquia x Estados Unidos</t>
  </si>
  <si>
    <t>Paraguai x Austrália</t>
  </si>
  <si>
    <t>Curaçao x Costa do Marfim</t>
  </si>
  <si>
    <t>Equador x Alemanha</t>
  </si>
  <si>
    <t>Tunísia x Países Baixos</t>
  </si>
  <si>
    <t>Japão x Suécia</t>
  </si>
  <si>
    <t>Nova Zelândia x Bélgica</t>
  </si>
  <si>
    <t>Egito x Irã</t>
  </si>
  <si>
    <t>Cabo Verde x Arábia Saudita</t>
  </si>
  <si>
    <t>Uruguai x Espanha</t>
  </si>
  <si>
    <t>Noruega x França</t>
  </si>
  <si>
    <t>Senegal x Iraque</t>
  </si>
  <si>
    <t>Argélia x Áustria</t>
  </si>
  <si>
    <t>Jordânia x Argentina</t>
  </si>
  <si>
    <t>Colômbia x Portugal</t>
  </si>
  <si>
    <t>Rep. Dem. Congo x Uzbequistão</t>
  </si>
  <si>
    <t>Panamá x Inglaterra</t>
  </si>
  <si>
    <t>Croácia x Gana</t>
  </si>
  <si>
    <t>TOTAL</t>
  </si>
  <si>
    <t>1x4</t>
  </si>
  <si>
    <t>3x0</t>
  </si>
  <si>
    <t>4x2</t>
  </si>
  <si>
    <t>1x3</t>
  </si>
  <si>
    <t>6x0</t>
  </si>
  <si>
    <t>0x4</t>
  </si>
  <si>
    <t>4x0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</si>
</sst>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DF00"/>
      <name val="Aptos Narrow"/>
      <family val="2"/>
      <scheme val="minor"/>
    </font>
    <font>
      <b/>
      <sz val="16"/>
      <color rgb="FFFFDF00"/>
      <name val="Aptos Narrow"/>
      <family val="2"/>
      <scheme val="minor"/>
    </font>
    <font>
      <b/>
      <sz val="12"/>
      <color rgb="FFFFDF00"/>
      <name val="Aptos Narrow"/>
      <family val="2"/>
      <scheme val="minor"/>
    </font>
    <font>
      <b/>
      <sz val="15"/>
      <color rgb="FFFFDF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0"/>
      <color rgb="FF00277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9C3B"/>
        <bgColor indexed="64"/>
      </patternFill>
    </fill>
    <fill>
      <patternFill patternType="solid">
        <fgColor rgb="FF002776"/>
        <bgColor indexed="64"/>
      </patternFill>
    </fill>
    <fill>
      <patternFill patternType="solid">
        <fgColor rgb="FFEAF3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4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medium">
        <color rgb="FF002776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02060"/>
      </top>
      <bottom/>
      <diagonal/>
    </border>
    <border>
      <left style="thin">
        <color rgb="FFBFBFBF"/>
      </left>
      <right/>
      <top style="medium">
        <color rgb="FF002060"/>
      </top>
      <bottom/>
      <diagonal/>
    </border>
    <border>
      <left/>
      <right style="thin">
        <color rgb="FFBFBFBF"/>
      </right>
      <top style="medium">
        <color rgb="FF002060"/>
      </top>
      <bottom/>
      <diagonal/>
    </border>
    <border>
      <left style="thin">
        <color rgb="FFBFBFBF"/>
      </left>
      <right style="medium">
        <color rgb="FF002060"/>
      </right>
      <top style="medium">
        <color rgb="FF002776"/>
      </top>
      <bottom style="thin">
        <color rgb="FFBFBFBF"/>
      </bottom>
      <diagonal/>
    </border>
    <border>
      <left style="thin">
        <color rgb="FFBFBFBF"/>
      </left>
      <right style="medium">
        <color rgb="FF002060"/>
      </right>
      <top/>
      <bottom/>
      <diagonal/>
    </border>
    <border>
      <left style="thin">
        <color rgb="FFBFBFBF"/>
      </left>
      <right style="medium">
        <color rgb="FF002060"/>
      </right>
      <top/>
      <bottom style="thin">
        <color rgb="FFBFBFBF"/>
      </bottom>
      <diagonal/>
    </border>
    <border>
      <left style="thin">
        <color rgb="FFBFBFBF"/>
      </left>
      <right style="medium">
        <color rgb="FF002060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2060"/>
      </right>
      <top style="thin">
        <color rgb="FFBFBFBF"/>
      </top>
      <bottom/>
      <diagonal/>
    </border>
    <border>
      <left style="thin">
        <color rgb="FFBFBFBF"/>
      </left>
      <right style="medium">
        <color rgb="FF002060"/>
      </right>
      <top style="thin">
        <color rgb="FFBFBFBF"/>
      </top>
      <bottom style="medium">
        <color rgb="FF002060"/>
      </bottom>
      <diagonal/>
    </border>
    <border>
      <left style="thin">
        <color rgb="FFBFBFBF"/>
      </left>
      <right style="thin">
        <color theme="0"/>
      </right>
      <top style="thin">
        <color rgb="FFBFBFBF"/>
      </top>
      <bottom style="medium">
        <color rgb="FF002776"/>
      </bottom>
      <diagonal/>
    </border>
    <border>
      <left style="medium">
        <color indexed="64"/>
      </left>
      <right/>
      <top style="medium">
        <color rgb="FF002060"/>
      </top>
      <bottom/>
      <diagonal/>
    </border>
    <border>
      <left style="medium">
        <color indexed="64"/>
      </left>
      <right/>
      <top style="medium">
        <color rgb="FF002776"/>
      </top>
      <bottom style="thin">
        <color rgb="FFBFBFBF"/>
      </bottom>
      <diagonal/>
    </border>
    <border>
      <left style="medium">
        <color indexed="64"/>
      </left>
      <right/>
      <top/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/>
      <diagonal/>
    </border>
    <border>
      <left style="thin">
        <color rgb="FFBFBFBF"/>
      </left>
      <right style="medium">
        <color rgb="FF002060"/>
      </right>
      <top style="medium">
        <color rgb="FF002060"/>
      </top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/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 style="thin">
        <color rgb="FFBFBFBF"/>
      </top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 style="thin">
        <color rgb="FFBFBFBF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/>
      <bottom/>
      <diagonal/>
    </border>
    <border>
      <left style="medium">
        <color rgb="FF002060"/>
      </left>
      <right style="medium">
        <color rgb="FF002060"/>
      </right>
      <top style="medium">
        <color rgb="FF002776"/>
      </top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 style="thin">
        <color rgb="FFBFBFBF"/>
      </top>
      <bottom/>
      <diagonal/>
    </border>
    <border>
      <left/>
      <right/>
      <top style="medium">
        <color rgb="FF002776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medium">
        <color rgb="FF00206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BFBFBF"/>
      </top>
      <bottom style="medium">
        <color rgb="FF002060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/>
      <top style="medium">
        <color rgb="FF002060"/>
      </top>
      <bottom style="thin">
        <color rgb="FFBFBFBF"/>
      </bottom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rgb="FFBFBFBF"/>
      </bottom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 style="medium">
        <color rgb="FF002060"/>
      </left>
      <right/>
      <top/>
      <bottom style="thin">
        <color rgb="FFBFBFBF"/>
      </bottom>
      <diagonal/>
    </border>
    <border>
      <left style="medium">
        <color rgb="FF002060"/>
      </left>
      <right/>
      <top style="thin">
        <color rgb="FFBFBFBF"/>
      </top>
      <bottom style="thin">
        <color rgb="FFBFBFBF"/>
      </bottom>
      <diagonal/>
    </border>
    <border>
      <left style="medium">
        <color rgb="FF002060"/>
      </left>
      <right/>
      <top style="thin">
        <color rgb="FFBFBFBF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6" fillId="0" borderId="0" xfId="0" applyFont="1"/>
    <xf numFmtId="0" fontId="7" fillId="0" borderId="0" xfId="0" applyFont="1"/>
    <xf numFmtId="0" fontId="0" fillId="5" borderId="1" xfId="0" applyFill="1" applyBorder="1" applyAlignment="1">
      <alignment horizontal="center"/>
    </xf>
    <xf numFmtId="0" fontId="1" fillId="5" borderId="1" xfId="0" applyFont="1" applyFill="1" applyBorder="1"/>
    <xf numFmtId="0" fontId="3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1" fillId="7" borderId="29" xfId="0" applyFont="1" applyFill="1" applyBorder="1"/>
    <xf numFmtId="14" fontId="0" fillId="5" borderId="25" xfId="0" applyNumberFormat="1" applyFill="1" applyBorder="1" applyAlignment="1">
      <alignment horizontal="left" vertical="center"/>
    </xf>
    <xf numFmtId="14" fontId="0" fillId="5" borderId="30" xfId="0" applyNumberFormat="1" applyFill="1" applyBorder="1" applyAlignment="1">
      <alignment horizontal="left" vertical="center"/>
    </xf>
    <xf numFmtId="0" fontId="0" fillId="6" borderId="31" xfId="0" applyFill="1" applyBorder="1" applyAlignment="1">
      <alignment horizontal="left" vertical="center"/>
    </xf>
    <xf numFmtId="0" fontId="0" fillId="6" borderId="30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26" xfId="0" applyFill="1" applyBorder="1" applyAlignment="1">
      <alignment horizontal="left" vertical="center"/>
    </xf>
    <xf numFmtId="0" fontId="0" fillId="5" borderId="27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0" fillId="6" borderId="26" xfId="0" applyFill="1" applyBorder="1" applyAlignment="1">
      <alignment horizontal="left" vertical="center"/>
    </xf>
    <xf numFmtId="0" fontId="0" fillId="6" borderId="27" xfId="0" applyFill="1" applyBorder="1" applyAlignment="1">
      <alignment horizontal="left" vertical="center"/>
    </xf>
    <xf numFmtId="0" fontId="0" fillId="6" borderId="32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3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0" borderId="38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0" fillId="2" borderId="3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12" fillId="8" borderId="30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 vertical="center"/>
    </xf>
    <xf numFmtId="0" fontId="12" fillId="8" borderId="40" xfId="0" applyFont="1" applyFill="1" applyBorder="1" applyAlignment="1">
      <alignment horizontal="center"/>
    </xf>
    <xf numFmtId="0" fontId="12" fillId="8" borderId="41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3" xfId="0" applyBorder="1" applyAlignment="1">
      <alignment horizontal="center"/>
    </xf>
    <xf numFmtId="0" fontId="13" fillId="9" borderId="37" xfId="0" applyFont="1" applyFill="1" applyBorder="1" applyAlignment="1">
      <alignment horizontal="center" vertical="center"/>
    </xf>
    <xf numFmtId="0" fontId="14" fillId="10" borderId="28" xfId="0" applyFont="1" applyFill="1" applyBorder="1" applyAlignment="1">
      <alignment horizontal="center" vertical="center"/>
    </xf>
    <xf numFmtId="0" fontId="13" fillId="9" borderId="28" xfId="0" applyFont="1" applyFill="1" applyBorder="1" applyAlignment="1">
      <alignment horizontal="center" vertical="center"/>
    </xf>
    <xf numFmtId="0" fontId="13" fillId="9" borderId="17" xfId="0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horizontal="center" vertical="center"/>
    </xf>
    <xf numFmtId="0" fontId="13" fillId="9" borderId="46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 textRotation="45"/>
    </xf>
    <xf numFmtId="14" fontId="0" fillId="6" borderId="8" xfId="0" applyNumberFormat="1" applyFill="1" applyBorder="1" applyAlignment="1">
      <alignment horizontal="center" vertical="center" textRotation="45"/>
    </xf>
    <xf numFmtId="14" fontId="0" fillId="6" borderId="3" xfId="0" applyNumberFormat="1" applyFill="1" applyBorder="1" applyAlignment="1">
      <alignment horizontal="center" vertical="center" textRotation="45"/>
    </xf>
    <xf numFmtId="14" fontId="0" fillId="6" borderId="5" xfId="0" applyNumberFormat="1" applyFill="1" applyBorder="1" applyAlignment="1">
      <alignment horizontal="center" vertical="center" textRotation="45"/>
    </xf>
    <xf numFmtId="14" fontId="0" fillId="5" borderId="25" xfId="0" applyNumberFormat="1" applyFill="1" applyBorder="1" applyAlignment="1">
      <alignment horizontal="center" vertical="center" textRotation="45"/>
    </xf>
    <xf numFmtId="14" fontId="0" fillId="5" borderId="26" xfId="0" applyNumberFormat="1" applyFill="1" applyBorder="1" applyAlignment="1">
      <alignment horizontal="center" vertical="center" textRotation="45"/>
    </xf>
    <xf numFmtId="14" fontId="0" fillId="5" borderId="27" xfId="0" applyNumberFormat="1" applyFill="1" applyBorder="1" applyAlignment="1">
      <alignment horizontal="center" vertical="center" textRotation="45"/>
    </xf>
    <xf numFmtId="14" fontId="0" fillId="5" borderId="28" xfId="0" applyNumberFormat="1" applyFill="1" applyBorder="1" applyAlignment="1">
      <alignment horizontal="center" vertical="center" textRotation="45"/>
    </xf>
    <xf numFmtId="0" fontId="11" fillId="7" borderId="19" xfId="0" applyFont="1" applyFill="1" applyBorder="1" applyAlignment="1">
      <alignment horizontal="center" vertical="center" textRotation="255" wrapText="1"/>
    </xf>
    <xf numFmtId="0" fontId="9" fillId="7" borderId="20" xfId="0" applyFont="1" applyFill="1" applyBorder="1" applyAlignment="1">
      <alignment horizontal="center" vertical="center" textRotation="255"/>
    </xf>
    <xf numFmtId="0" fontId="9" fillId="7" borderId="36" xfId="0" applyFont="1" applyFill="1" applyBorder="1" applyAlignment="1">
      <alignment horizontal="center" vertical="center" textRotation="255"/>
    </xf>
    <xf numFmtId="0" fontId="9" fillId="7" borderId="21" xfId="0" applyFont="1" applyFill="1" applyBorder="1" applyAlignment="1">
      <alignment horizontal="center" vertical="center" textRotation="255"/>
    </xf>
    <xf numFmtId="0" fontId="9" fillId="7" borderId="22" xfId="0" applyFont="1" applyFill="1" applyBorder="1" applyAlignment="1">
      <alignment horizontal="center" vertical="center" textRotation="255"/>
    </xf>
    <xf numFmtId="0" fontId="9" fillId="7" borderId="23" xfId="0" applyFont="1" applyFill="1" applyBorder="1" applyAlignment="1">
      <alignment horizontal="center" vertical="center" textRotation="255"/>
    </xf>
    <xf numFmtId="0" fontId="9" fillId="7" borderId="37" xfId="0" applyFont="1" applyFill="1" applyBorder="1" applyAlignment="1">
      <alignment horizontal="center" vertical="center" textRotation="255"/>
    </xf>
    <xf numFmtId="14" fontId="0" fillId="5" borderId="6" xfId="0" applyNumberFormat="1" applyFill="1" applyBorder="1" applyAlignment="1">
      <alignment horizontal="center" vertical="center" textRotation="45"/>
    </xf>
    <xf numFmtId="14" fontId="0" fillId="5" borderId="8" xfId="0" applyNumberFormat="1" applyFill="1" applyBorder="1" applyAlignment="1">
      <alignment horizontal="center" vertical="center" textRotation="45"/>
    </xf>
    <xf numFmtId="14" fontId="0" fillId="5" borderId="3" xfId="0" applyNumberFormat="1" applyFill="1" applyBorder="1" applyAlignment="1">
      <alignment horizontal="center" vertical="center" textRotation="45"/>
    </xf>
    <xf numFmtId="14" fontId="0" fillId="5" borderId="5" xfId="0" applyNumberFormat="1" applyFill="1" applyBorder="1" applyAlignment="1">
      <alignment horizontal="center" vertical="center" textRotation="45"/>
    </xf>
    <xf numFmtId="14" fontId="0" fillId="5" borderId="6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14" fontId="0" fillId="6" borderId="6" xfId="0" applyNumberFormat="1" applyFill="1" applyBorder="1" applyAlignment="1">
      <alignment horizontal="center" vertical="center"/>
    </xf>
    <xf numFmtId="14" fontId="0" fillId="6" borderId="7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</font>
      <fill>
        <patternFill patternType="solid">
          <fgColor indexed="64"/>
          <bgColor rgb="FFFFE082"/>
        </patternFill>
      </fill>
    </dxf>
    <dxf>
      <font>
        <b/>
        <i val="0"/>
        <color rgb="FFFFFFFF"/>
      </font>
      <fill>
        <patternFill patternType="solid">
          <fgColor indexed="64"/>
          <bgColor rgb="FF009C3B"/>
        </patternFill>
      </fill>
    </dxf>
    <dxf>
      <alignment horizontal="center"/>
    </dxf>
    <dxf>
      <font>
        <b/>
      </font>
    </dxf>
    <dxf>
      <font>
        <b/>
        <sz val="12"/>
        <color rgb="FFFFDF00"/>
      </font>
      <fill>
        <patternFill patternType="solid">
          <fgColor indexed="64"/>
          <bgColor rgb="FF002776"/>
        </patternFill>
      </fill>
      <alignment horizontal="center"/>
    </dxf>
  </dxfs>
  <tableStyles count="0" defaultTableStyle="TableStyleMedium2" defaultPivotStyle="PivotStyleLight16"/>
  <colors>
    <mruColors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A96F6-1C29-4184-8466-79C03B42EAD6}" name="BolaoCopa" displayName="BolaoCopa" ref="A4:B20" totalsRowShown="0" headerRowDxfId="8">
  <autoFilter ref="A4:B20" xr:uid="{49FA96F6-1C29-4184-8466-79C03B42EAD6}"/>
  <tableColumns count="2">
    <tableColumn id="1" xr3:uid="{377F1B03-9BE9-462A-A1BC-1F8EE6567180}" name="Participantes" dataDxfId="7"/>
    <tableColumn id="3" xr3:uid="{EF301B8F-51D1-4897-A7D7-3E56DAA9D6FC}" name="Pago" dataDxfId="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1A1E91B-3759-484A-B714-3D34971955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b5dae0b-88b7-4b45-b8b9-4b0f1241372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B9C6-68D0-4D2F-A5BE-E5AEA76F05E0}">
  <dimension ref="A1:H20"/>
  <sheetViews>
    <sheetView workbookViewId="0">
      <selection activeCell="D31" sqref="D31"/>
    </sheetView>
  </sheetViews>
  <sheetFormatPr defaultRowHeight="15" x14ac:dyDescent="0.2"/>
  <cols>
    <col min="1" max="1" width="24.75" customWidth="1"/>
    <col min="2" max="3" width="14.2578125" customWidth="1"/>
  </cols>
  <sheetData>
    <row r="1" spans="1:8" ht="21" x14ac:dyDescent="0.2">
      <c r="A1" s="126" t="s">
        <v>0</v>
      </c>
      <c r="B1" s="126"/>
      <c r="C1" s="13"/>
      <c r="D1" s="13"/>
      <c r="E1" s="13"/>
      <c r="F1" s="13"/>
      <c r="G1" s="13"/>
      <c r="H1" s="13"/>
    </row>
    <row r="2" spans="1:8" ht="15" customHeight="1" x14ac:dyDescent="0.2">
      <c r="A2" s="126"/>
      <c r="B2" s="126"/>
      <c r="C2" s="13"/>
      <c r="D2" s="13"/>
      <c r="E2" s="13"/>
      <c r="F2" s="13"/>
      <c r="G2" s="13"/>
      <c r="H2" s="13"/>
    </row>
    <row r="3" spans="1:8" ht="15" customHeight="1" x14ac:dyDescent="0.2">
      <c r="A3" s="126"/>
      <c r="B3" s="126"/>
      <c r="C3" s="13"/>
      <c r="D3" s="13"/>
      <c r="E3" s="13"/>
      <c r="F3" s="13"/>
      <c r="G3" s="13"/>
      <c r="H3" s="13"/>
    </row>
    <row r="4" spans="1:8" ht="26.1" customHeight="1" x14ac:dyDescent="0.25">
      <c r="A4" s="2" t="s">
        <v>1</v>
      </c>
      <c r="B4" s="2" t="s">
        <v>2</v>
      </c>
    </row>
    <row r="5" spans="1:8" x14ac:dyDescent="0.2">
      <c r="A5" s="3" t="s">
        <v>3</v>
      </c>
      <c r="B5" s="1" t="s">
        <v>4</v>
      </c>
    </row>
    <row r="6" spans="1:8" x14ac:dyDescent="0.2">
      <c r="A6" s="3" t="s">
        <v>5</v>
      </c>
      <c r="B6" s="1" t="s">
        <v>4</v>
      </c>
    </row>
    <row r="7" spans="1:8" x14ac:dyDescent="0.2">
      <c r="A7" s="3" t="s">
        <v>6</v>
      </c>
      <c r="B7" s="1" t="s">
        <v>4</v>
      </c>
    </row>
    <row r="8" spans="1:8" x14ac:dyDescent="0.2">
      <c r="A8" s="3" t="s">
        <v>7</v>
      </c>
      <c r="B8" s="1" t="s">
        <v>4</v>
      </c>
    </row>
    <row r="9" spans="1:8" x14ac:dyDescent="0.2">
      <c r="A9" s="3" t="s">
        <v>8</v>
      </c>
      <c r="B9" s="1" t="s">
        <v>4</v>
      </c>
    </row>
    <row r="10" spans="1:8" x14ac:dyDescent="0.2">
      <c r="A10" s="3" t="s">
        <v>9</v>
      </c>
      <c r="B10" s="1" t="s">
        <v>4</v>
      </c>
    </row>
    <row r="11" spans="1:8" x14ac:dyDescent="0.2">
      <c r="A11" s="3" t="s">
        <v>10</v>
      </c>
      <c r="B11" s="1" t="s">
        <v>4</v>
      </c>
    </row>
    <row r="12" spans="1:8" x14ac:dyDescent="0.2">
      <c r="A12" s="3" t="s">
        <v>11</v>
      </c>
      <c r="B12" s="1" t="s">
        <v>4</v>
      </c>
    </row>
    <row r="13" spans="1:8" x14ac:dyDescent="0.2">
      <c r="A13" s="3" t="s">
        <v>12</v>
      </c>
      <c r="B13" s="1" t="s">
        <v>4</v>
      </c>
    </row>
    <row r="14" spans="1:8" x14ac:dyDescent="0.2">
      <c r="A14" s="3" t="s">
        <v>13</v>
      </c>
      <c r="B14" s="1" t="s">
        <v>4</v>
      </c>
    </row>
    <row r="15" spans="1:8" x14ac:dyDescent="0.2">
      <c r="A15" s="3" t="s">
        <v>14</v>
      </c>
      <c r="B15" s="1" t="s">
        <v>4</v>
      </c>
    </row>
    <row r="16" spans="1:8" x14ac:dyDescent="0.2">
      <c r="A16" s="3" t="s">
        <v>15</v>
      </c>
      <c r="B16" s="1" t="s">
        <v>4</v>
      </c>
    </row>
    <row r="17" spans="1:2" x14ac:dyDescent="0.2">
      <c r="A17" s="3" t="s">
        <v>16</v>
      </c>
      <c r="B17" s="1" t="s">
        <v>4</v>
      </c>
    </row>
    <row r="18" spans="1:2" x14ac:dyDescent="0.2">
      <c r="A18" s="3" t="s">
        <v>17</v>
      </c>
      <c r="B18" s="1" t="s">
        <v>4</v>
      </c>
    </row>
    <row r="19" spans="1:2" x14ac:dyDescent="0.2">
      <c r="A19" s="3" t="s">
        <v>18</v>
      </c>
      <c r="B19" s="1" t="s">
        <v>4</v>
      </c>
    </row>
    <row r="20" spans="1:2" x14ac:dyDescent="0.2">
      <c r="A20" s="3" t="s">
        <v>19</v>
      </c>
      <c r="B20" s="1" t="s">
        <v>4</v>
      </c>
    </row>
  </sheetData>
  <mergeCells count="1">
    <mergeCell ref="A1:B3"/>
  </mergeCells>
  <conditionalFormatting sqref="B5:B20">
    <cfRule type="containsText" dxfId="5" priority="1" operator="containsText" text="Ok">
      <formula>NOT(ISERROR(SEARCH("Ok",B5)))</formula>
    </cfRule>
  </conditionalFormatting>
  <dataValidations count="1">
    <dataValidation type="list" allowBlank="1" showInputMessage="1" showErrorMessage="1" sqref="B5:B20" xr:uid="{F01575D6-8233-4B30-BF6D-0F9211A1B582}">
      <formula1>"Ok,Pendente"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3565-F431-42B0-AFCE-662FFB8D74CF}">
  <dimension ref="A1:J17"/>
  <sheetViews>
    <sheetView workbookViewId="0">
      <pane ySplit="3" topLeftCell="A4" activePane="bottomLeft" state="frozen"/>
      <selection pane="bottomLeft" activeCell="D4" sqref="D4"/>
    </sheetView>
  </sheetViews>
  <sheetFormatPr defaultRowHeight="15" x14ac:dyDescent="0.2"/>
  <cols>
    <col min="1" max="1" width="5.6484375" customWidth="1"/>
    <col min="2" max="2" width="20.984375" customWidth="1"/>
    <col min="3" max="7" width="12.10546875" customWidth="1"/>
    <col min="9" max="9" width="22.8671875" customWidth="1"/>
    <col min="10" max="10" width="9.55078125" customWidth="1"/>
  </cols>
  <sheetData>
    <row r="1" spans="1:10" ht="30" customHeight="1" x14ac:dyDescent="0.2">
      <c r="A1" s="127" t="s">
        <v>20</v>
      </c>
      <c r="B1" s="128"/>
      <c r="C1" s="128"/>
      <c r="D1" s="128"/>
      <c r="E1" s="128"/>
      <c r="F1" s="128"/>
      <c r="G1" s="128"/>
    </row>
    <row r="3" spans="1:10" ht="30" customHeight="1" x14ac:dyDescent="0.2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I3" s="7" t="s">
        <v>26</v>
      </c>
      <c r="J3" s="8"/>
    </row>
    <row r="4" spans="1:10" x14ac:dyDescent="0.2">
      <c r="A4" s="5">
        <f>ROW()-3</f>
        <v>1</v>
      </c>
      <c r="B4" s="6" t="s">
        <v>3</v>
      </c>
      <c r="C4" s="5" t="e" cm="1">
        <f t="array" ref="C4">SUMPRODUCT((#REF!&lt;&gt;"")*(INDEX(#REF!,0,$A4)=#REF!))</f>
        <v>#REF!</v>
      </c>
      <c r="D4" s="14" t="e">
        <f>C4*$J$4</f>
        <v>#REF!</v>
      </c>
      <c r="E4" s="14" t="e">
        <f>RANK(D4,$D$4:$D$17)</f>
        <v>#REF!</v>
      </c>
      <c r="I4" t="s">
        <v>27</v>
      </c>
      <c r="J4" s="7">
        <v>1</v>
      </c>
    </row>
    <row r="5" spans="1:10" x14ac:dyDescent="0.2">
      <c r="A5" s="11">
        <f t="shared" ref="A5:A17" si="0">ROW()-3</f>
        <v>2</v>
      </c>
      <c r="B5" s="12" t="s">
        <v>5</v>
      </c>
      <c r="C5" s="5" t="e" cm="1">
        <f t="array" ref="C5">SUMPRODUCT((#REF!&lt;&gt;"")*(INDEX(#REF!,0,$A5)=#REF!))</f>
        <v>#REF!</v>
      </c>
      <c r="D5" s="14" t="e">
        <f t="shared" ref="D5:D17" si="1">C5*$J$4</f>
        <v>#REF!</v>
      </c>
      <c r="E5" s="14" t="e">
        <f t="shared" ref="E5:E17" si="2">RANK(D5,$D$4:$D$17)</f>
        <v>#REF!</v>
      </c>
      <c r="J5" s="8"/>
    </row>
    <row r="6" spans="1:10" x14ac:dyDescent="0.2">
      <c r="A6" s="5">
        <f t="shared" si="0"/>
        <v>3</v>
      </c>
      <c r="B6" s="6" t="s">
        <v>6</v>
      </c>
      <c r="C6" s="5" t="e" cm="1">
        <f t="array" ref="C6">SUMPRODUCT((#REF!&lt;&gt;"")*(INDEX(#REF!,0,$A6)=#REF!))</f>
        <v>#REF!</v>
      </c>
      <c r="D6" s="14" t="e">
        <f t="shared" si="1"/>
        <v>#REF!</v>
      </c>
      <c r="E6" s="14" t="e">
        <f t="shared" si="2"/>
        <v>#REF!</v>
      </c>
    </row>
    <row r="7" spans="1:10" x14ac:dyDescent="0.2">
      <c r="A7" s="11">
        <f t="shared" si="0"/>
        <v>4</v>
      </c>
      <c r="B7" s="12" t="s">
        <v>7</v>
      </c>
      <c r="C7" s="5" t="e" cm="1">
        <f t="array" ref="C7">SUMPRODUCT((#REF!&lt;&gt;"")*(INDEX(#REF!,0,$A7)=#REF!))</f>
        <v>#REF!</v>
      </c>
      <c r="D7" s="14" t="e">
        <f t="shared" si="1"/>
        <v>#REF!</v>
      </c>
      <c r="E7" s="14" t="e">
        <f t="shared" si="2"/>
        <v>#REF!</v>
      </c>
      <c r="I7" s="9" t="s">
        <v>28</v>
      </c>
    </row>
    <row r="8" spans="1:10" x14ac:dyDescent="0.2">
      <c r="A8" s="5">
        <f t="shared" si="0"/>
        <v>5</v>
      </c>
      <c r="B8" s="6" t="s">
        <v>8</v>
      </c>
      <c r="C8" s="5" t="e" cm="1">
        <f t="array" ref="C8">SUMPRODUCT((#REF!&lt;&gt;"")*(INDEX(#REF!,0,$A8)=#REF!))</f>
        <v>#REF!</v>
      </c>
      <c r="D8" s="14" t="e">
        <f t="shared" si="1"/>
        <v>#REF!</v>
      </c>
      <c r="E8" s="14" t="e">
        <f t="shared" si="2"/>
        <v>#REF!</v>
      </c>
      <c r="I8" s="10" t="s">
        <v>29</v>
      </c>
    </row>
    <row r="9" spans="1:10" x14ac:dyDescent="0.2">
      <c r="A9" s="11">
        <f t="shared" si="0"/>
        <v>6</v>
      </c>
      <c r="B9" s="12" t="s">
        <v>9</v>
      </c>
      <c r="C9" s="5" t="e" cm="1">
        <f t="array" ref="C9">SUMPRODUCT((#REF!&lt;&gt;"")*(INDEX(#REF!,0,$A9)=#REF!))</f>
        <v>#REF!</v>
      </c>
      <c r="D9" s="14" t="e">
        <f t="shared" si="1"/>
        <v>#REF!</v>
      </c>
      <c r="E9" s="14" t="e">
        <f t="shared" si="2"/>
        <v>#REF!</v>
      </c>
    </row>
    <row r="10" spans="1:10" x14ac:dyDescent="0.2">
      <c r="A10" s="5">
        <f t="shared" si="0"/>
        <v>7</v>
      </c>
      <c r="B10" s="6" t="s">
        <v>10</v>
      </c>
      <c r="C10" s="5" t="e" cm="1">
        <f t="array" ref="C10">SUMPRODUCT((#REF!&lt;&gt;"")*(INDEX(#REF!,0,$A10)=#REF!))</f>
        <v>#REF!</v>
      </c>
      <c r="D10" s="14" t="e">
        <f t="shared" si="1"/>
        <v>#REF!</v>
      </c>
      <c r="E10" s="14" t="e">
        <f t="shared" si="2"/>
        <v>#REF!</v>
      </c>
    </row>
    <row r="11" spans="1:10" x14ac:dyDescent="0.2">
      <c r="A11" s="11">
        <f t="shared" si="0"/>
        <v>8</v>
      </c>
      <c r="B11" s="12" t="s">
        <v>11</v>
      </c>
      <c r="C11" s="5" t="e" cm="1">
        <f t="array" ref="C11">SUMPRODUCT((#REF!&lt;&gt;"")*(INDEX(#REF!,0,$A11)=#REF!))</f>
        <v>#REF!</v>
      </c>
      <c r="D11" s="14" t="e">
        <f t="shared" si="1"/>
        <v>#REF!</v>
      </c>
      <c r="E11" s="14" t="e">
        <f t="shared" si="2"/>
        <v>#REF!</v>
      </c>
    </row>
    <row r="12" spans="1:10" x14ac:dyDescent="0.2">
      <c r="A12" s="5">
        <f t="shared" si="0"/>
        <v>9</v>
      </c>
      <c r="B12" s="6" t="s">
        <v>12</v>
      </c>
      <c r="C12" s="5" t="e" cm="1">
        <f t="array" ref="C12">SUMPRODUCT((#REF!&lt;&gt;"")*(INDEX(#REF!,0,$A12)=#REF!))</f>
        <v>#REF!</v>
      </c>
      <c r="D12" s="14" t="e">
        <f t="shared" si="1"/>
        <v>#REF!</v>
      </c>
      <c r="E12" s="14" t="e">
        <f t="shared" si="2"/>
        <v>#REF!</v>
      </c>
    </row>
    <row r="13" spans="1:10" x14ac:dyDescent="0.2">
      <c r="A13" s="11">
        <f t="shared" si="0"/>
        <v>10</v>
      </c>
      <c r="B13" s="12" t="s">
        <v>13</v>
      </c>
      <c r="C13" s="5" t="e" cm="1">
        <f t="array" ref="C13">SUMPRODUCT((#REF!&lt;&gt;"")*(INDEX(#REF!,0,$A13)=#REF!))</f>
        <v>#REF!</v>
      </c>
      <c r="D13" s="14" t="e">
        <f t="shared" si="1"/>
        <v>#REF!</v>
      </c>
      <c r="E13" s="14" t="e">
        <f t="shared" si="2"/>
        <v>#REF!</v>
      </c>
    </row>
    <row r="14" spans="1:10" x14ac:dyDescent="0.2">
      <c r="A14" s="5">
        <f t="shared" si="0"/>
        <v>11</v>
      </c>
      <c r="B14" s="6" t="s">
        <v>14</v>
      </c>
      <c r="C14" s="5" t="e" cm="1">
        <f t="array" ref="C14">SUMPRODUCT((#REF!&lt;&gt;"")*(INDEX(#REF!,0,$A14)=#REF!))</f>
        <v>#REF!</v>
      </c>
      <c r="D14" s="14" t="e">
        <f t="shared" si="1"/>
        <v>#REF!</v>
      </c>
      <c r="E14" s="14" t="e">
        <f t="shared" si="2"/>
        <v>#REF!</v>
      </c>
    </row>
    <row r="15" spans="1:10" x14ac:dyDescent="0.2">
      <c r="A15" s="11">
        <f t="shared" si="0"/>
        <v>12</v>
      </c>
      <c r="B15" s="12" t="s">
        <v>15</v>
      </c>
      <c r="C15" s="5" t="e" cm="1">
        <f t="array" ref="C15">SUMPRODUCT((#REF!&lt;&gt;"")*(INDEX(#REF!,0,$A15)=#REF!))</f>
        <v>#REF!</v>
      </c>
      <c r="D15" s="14" t="e">
        <f t="shared" si="1"/>
        <v>#REF!</v>
      </c>
      <c r="E15" s="14" t="e">
        <f t="shared" si="2"/>
        <v>#REF!</v>
      </c>
    </row>
    <row r="16" spans="1:10" x14ac:dyDescent="0.2">
      <c r="A16" s="5">
        <f t="shared" si="0"/>
        <v>13</v>
      </c>
      <c r="B16" s="6" t="s">
        <v>16</v>
      </c>
      <c r="C16" s="5" t="e" cm="1">
        <f t="array" ref="C16">SUMPRODUCT((#REF!&lt;&gt;"")*(INDEX(#REF!,0,$A16)=#REF!))</f>
        <v>#REF!</v>
      </c>
      <c r="D16" s="14" t="e">
        <f t="shared" si="1"/>
        <v>#REF!</v>
      </c>
      <c r="E16" s="14" t="e">
        <f t="shared" si="2"/>
        <v>#REF!</v>
      </c>
    </row>
    <row r="17" spans="1:5" x14ac:dyDescent="0.2">
      <c r="A17" s="11">
        <f t="shared" si="0"/>
        <v>14</v>
      </c>
      <c r="B17" s="12" t="s">
        <v>17</v>
      </c>
      <c r="C17" s="5" t="e" cm="1">
        <f t="array" ref="C17">SUMPRODUCT((#REF!&lt;&gt;"")*(INDEX(#REF!,0,$A17)=#REF!))</f>
        <v>#REF!</v>
      </c>
      <c r="D17" s="14" t="e">
        <f t="shared" si="1"/>
        <v>#REF!</v>
      </c>
      <c r="E17" s="14" t="e">
        <f t="shared" si="2"/>
        <v>#REF!</v>
      </c>
    </row>
  </sheetData>
  <mergeCells count="1">
    <mergeCell ref="A1:G1"/>
  </mergeCells>
  <conditionalFormatting sqref="A4:E17">
    <cfRule type="expression" dxfId="4" priority="2">
      <formula>$E4=1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0EA7-5EA0-4748-B530-C51A9976ED39}">
  <dimension ref="A1:AD74"/>
  <sheetViews>
    <sheetView tabSelected="1" topLeftCell="Y1" zoomScaleNormal="100" workbookViewId="0">
      <pane ySplit="1" topLeftCell="Y29" activePane="bottomLeft" state="frozen"/>
      <selection activeCell="B1" sqref="B1"/>
      <selection pane="bottomLeft" activeCell="E40" sqref="E40"/>
    </sheetView>
  </sheetViews>
  <sheetFormatPr defaultRowHeight="15" x14ac:dyDescent="0.2"/>
  <cols>
    <col min="1" max="1" width="11.8359375" customWidth="1"/>
    <col min="2" max="2" width="32.41796875" customWidth="1"/>
    <col min="3" max="4" width="20.58203125" customWidth="1"/>
    <col min="5" max="5" width="12.5078125" customWidth="1"/>
    <col min="6" max="6" width="6.05078125" customWidth="1"/>
    <col min="7" max="29" width="16.41015625" customWidth="1"/>
  </cols>
  <sheetData>
    <row r="1" spans="1:30" ht="30" customHeight="1" thickBot="1" x14ac:dyDescent="0.25">
      <c r="A1" s="18" t="s">
        <v>30</v>
      </c>
      <c r="B1" s="17" t="s">
        <v>31</v>
      </c>
      <c r="C1" s="15" t="s">
        <v>32</v>
      </c>
      <c r="D1" s="15" t="s">
        <v>33</v>
      </c>
      <c r="E1" s="16" t="s">
        <v>34</v>
      </c>
      <c r="F1" s="111"/>
      <c r="G1" s="83" t="s">
        <v>3</v>
      </c>
      <c r="H1" s="82" t="s">
        <v>5</v>
      </c>
      <c r="I1" s="82" t="s">
        <v>6</v>
      </c>
      <c r="J1" s="82" t="s">
        <v>35</v>
      </c>
      <c r="K1" s="82" t="s">
        <v>7</v>
      </c>
      <c r="L1" s="82" t="s">
        <v>36</v>
      </c>
      <c r="M1" s="82" t="s">
        <v>8</v>
      </c>
      <c r="N1" s="82" t="s">
        <v>9</v>
      </c>
      <c r="O1" s="82" t="s">
        <v>18</v>
      </c>
      <c r="P1" s="82" t="s">
        <v>10</v>
      </c>
      <c r="Q1" s="82" t="s">
        <v>37</v>
      </c>
      <c r="R1" s="82" t="s">
        <v>11</v>
      </c>
      <c r="S1" s="82" t="s">
        <v>12</v>
      </c>
      <c r="T1" s="82" t="s">
        <v>13</v>
      </c>
      <c r="U1" s="82" t="s">
        <v>38</v>
      </c>
      <c r="V1" s="82" t="s">
        <v>14</v>
      </c>
      <c r="W1" s="82" t="s">
        <v>15</v>
      </c>
      <c r="X1" s="82" t="s">
        <v>16</v>
      </c>
      <c r="Y1" s="82" t="s">
        <v>17</v>
      </c>
      <c r="Z1" s="82" t="s">
        <v>19</v>
      </c>
      <c r="AA1" s="84" t="s">
        <v>39</v>
      </c>
      <c r="AB1" s="84" t="s">
        <v>40</v>
      </c>
      <c r="AC1" s="86" t="s">
        <v>41</v>
      </c>
    </row>
    <row r="2" spans="1:30" x14ac:dyDescent="0.2">
      <c r="A2" s="122">
        <v>46184</v>
      </c>
      <c r="B2" s="20" t="s">
        <v>42</v>
      </c>
      <c r="C2" s="32" t="str">
        <f>TRIM(LEFT(B2,FIND(" x ",B2)-1))</f>
        <v>México</v>
      </c>
      <c r="D2" s="32" t="str">
        <f>TRIM(MID(B2,FIND(" x ",B2)+3,100))</f>
        <v>África do Sul</v>
      </c>
      <c r="E2" s="44" t="s">
        <v>43</v>
      </c>
      <c r="F2" s="112"/>
      <c r="G2" s="63" t="s">
        <v>44</v>
      </c>
      <c r="H2" s="71" t="s">
        <v>45</v>
      </c>
      <c r="I2" s="71" t="s">
        <v>44</v>
      </c>
      <c r="J2" s="71" t="s">
        <v>44</v>
      </c>
      <c r="K2" s="71" t="s">
        <v>44</v>
      </c>
      <c r="L2" s="71" t="s">
        <v>44</v>
      </c>
      <c r="M2" s="71" t="s">
        <v>44</v>
      </c>
      <c r="N2" s="71" t="s">
        <v>44</v>
      </c>
      <c r="O2" s="71" t="s">
        <v>44</v>
      </c>
      <c r="P2" s="71" t="s">
        <v>44</v>
      </c>
      <c r="Q2" s="71" t="s">
        <v>44</v>
      </c>
      <c r="R2" s="71" t="s">
        <v>46</v>
      </c>
      <c r="S2" s="71" t="s">
        <v>44</v>
      </c>
      <c r="T2" s="71" t="s">
        <v>44</v>
      </c>
      <c r="U2" s="56" t="s">
        <v>44</v>
      </c>
      <c r="V2" s="56" t="s">
        <v>44</v>
      </c>
      <c r="W2" s="56" t="s">
        <v>46</v>
      </c>
      <c r="X2" s="56" t="s">
        <v>45</v>
      </c>
      <c r="Y2" s="56" t="s">
        <v>44</v>
      </c>
      <c r="Z2" s="80" t="s">
        <v>44</v>
      </c>
      <c r="AA2" s="75">
        <f>IFERROR(VALUE(TRIM(LEFT($E2,SEARCH("x",$E2)-1))),"")</f>
        <v>2</v>
      </c>
      <c r="AB2" s="89">
        <f>IFERROR(VALUE(TRIM(MID($E2,SEARCH("x",$E2)+1,10))),"")</f>
        <v>0</v>
      </c>
      <c r="AC2" s="87" t="str">
        <f>IF(OR($AA2="",$AB2=""),"",IF($AA2&gt;$AB2,"A",IF($AA2&lt;$AB2,"B","E")))</f>
        <v>A</v>
      </c>
    </row>
    <row r="3" spans="1:30" ht="15.75" thickBot="1" x14ac:dyDescent="0.25">
      <c r="A3" s="123"/>
      <c r="B3" s="21" t="s">
        <v>47</v>
      </c>
      <c r="C3" s="33" t="str">
        <f t="shared" ref="C3:C66" si="0">TRIM(LEFT(B3,FIND(" x ",B3)-1))</f>
        <v>Coreia do Sul</v>
      </c>
      <c r="D3" s="33" t="str">
        <f t="shared" ref="D3:D66" si="1">TRIM(MID(B3,FIND(" x ",B3)+3,100))</f>
        <v>Tchéquia</v>
      </c>
      <c r="E3" s="45" t="s">
        <v>48</v>
      </c>
      <c r="F3" s="113"/>
      <c r="G3" s="57" t="s">
        <v>46</v>
      </c>
      <c r="H3" s="58" t="s">
        <v>44</v>
      </c>
      <c r="I3" s="58" t="s">
        <v>44</v>
      </c>
      <c r="J3" s="58" t="s">
        <v>44</v>
      </c>
      <c r="K3" s="58" t="s">
        <v>44</v>
      </c>
      <c r="L3" s="58" t="s">
        <v>44</v>
      </c>
      <c r="M3" s="58" t="s">
        <v>44</v>
      </c>
      <c r="N3" s="58" t="s">
        <v>44</v>
      </c>
      <c r="O3" s="58" t="s">
        <v>45</v>
      </c>
      <c r="P3" s="58" t="s">
        <v>45</v>
      </c>
      <c r="Q3" s="58" t="s">
        <v>45</v>
      </c>
      <c r="R3" s="58" t="s">
        <v>44</v>
      </c>
      <c r="S3" s="58" t="s">
        <v>46</v>
      </c>
      <c r="T3" s="58" t="s">
        <v>45</v>
      </c>
      <c r="U3" s="59" t="s">
        <v>46</v>
      </c>
      <c r="V3" s="59" t="s">
        <v>44</v>
      </c>
      <c r="W3" s="59" t="s">
        <v>44</v>
      </c>
      <c r="X3" s="59" t="s">
        <v>44</v>
      </c>
      <c r="Y3" s="59" t="s">
        <v>44</v>
      </c>
      <c r="Z3" s="77" t="s">
        <v>45</v>
      </c>
      <c r="AA3" s="81">
        <f t="shared" ref="AA3:AA20" si="2">IFERROR(VALUE(TRIM(LEFT($E3,SEARCH("x",$E3)-1))),"")</f>
        <v>2</v>
      </c>
      <c r="AB3" s="90">
        <f t="shared" ref="AB3:AB20" si="3">IFERROR(VALUE(TRIM(MID($E3,SEARCH("x",$E3)+1,10))),"")</f>
        <v>1</v>
      </c>
      <c r="AC3" s="85" t="str">
        <f>IF(OR($AA3="",$AB3=""),"",IF($AA3&gt;$AB3,"A",IF($AA3&lt;$AB3,"B","E")))</f>
        <v>A</v>
      </c>
    </row>
    <row r="4" spans="1:30" x14ac:dyDescent="0.2">
      <c r="A4" s="124">
        <v>46185</v>
      </c>
      <c r="B4" s="22" t="s">
        <v>49</v>
      </c>
      <c r="C4" s="34" t="str">
        <f t="shared" si="0"/>
        <v>Canadá</v>
      </c>
      <c r="D4" s="34" t="str">
        <f t="shared" si="1"/>
        <v>Bósnia e Herzeg.</v>
      </c>
      <c r="E4" s="46" t="s">
        <v>50</v>
      </c>
      <c r="F4" s="112"/>
      <c r="G4" s="60" t="s">
        <v>44</v>
      </c>
      <c r="H4" s="61" t="s">
        <v>46</v>
      </c>
      <c r="I4" s="61" t="s">
        <v>45</v>
      </c>
      <c r="J4" s="61" t="s">
        <v>46</v>
      </c>
      <c r="K4" s="61" t="s">
        <v>44</v>
      </c>
      <c r="L4" s="61" t="s">
        <v>44</v>
      </c>
      <c r="M4" s="61" t="s">
        <v>44</v>
      </c>
      <c r="N4" s="61" t="s">
        <v>44</v>
      </c>
      <c r="O4" s="61" t="s">
        <v>44</v>
      </c>
      <c r="P4" s="61" t="s">
        <v>44</v>
      </c>
      <c r="Q4" s="61" t="s">
        <v>44</v>
      </c>
      <c r="R4" s="61" t="s">
        <v>44</v>
      </c>
      <c r="S4" s="61" t="s">
        <v>44</v>
      </c>
      <c r="T4" s="61" t="s">
        <v>45</v>
      </c>
      <c r="U4" s="62" t="s">
        <v>44</v>
      </c>
      <c r="V4" s="62" t="s">
        <v>44</v>
      </c>
      <c r="W4" s="62" t="s">
        <v>44</v>
      </c>
      <c r="X4" s="62" t="s">
        <v>44</v>
      </c>
      <c r="Y4" s="62" t="s">
        <v>45</v>
      </c>
      <c r="Z4" s="76" t="s">
        <v>45</v>
      </c>
      <c r="AA4" s="81">
        <f t="shared" si="2"/>
        <v>1</v>
      </c>
      <c r="AB4" s="90">
        <f t="shared" si="3"/>
        <v>1</v>
      </c>
      <c r="AC4" s="85" t="str">
        <f t="shared" ref="AC4:AC67" si="4">IF(OR($AA4="",$AB4=""),"",IF($AA4&gt;$AB4,"A",IF($AA4&lt;$AB4,"B","E")))</f>
        <v>E</v>
      </c>
      <c r="AD4" s="54"/>
    </row>
    <row r="5" spans="1:30" x14ac:dyDescent="0.2">
      <c r="A5" s="125"/>
      <c r="B5" s="23" t="s">
        <v>51</v>
      </c>
      <c r="C5" s="35" t="str">
        <f t="shared" si="0"/>
        <v>Estados Unidos</v>
      </c>
      <c r="D5" s="35" t="str">
        <f t="shared" si="1"/>
        <v>Paraguai</v>
      </c>
      <c r="E5" s="46" t="s">
        <v>52</v>
      </c>
      <c r="F5" s="113"/>
      <c r="G5" s="57" t="s">
        <v>45</v>
      </c>
      <c r="H5" s="58" t="s">
        <v>45</v>
      </c>
      <c r="I5" s="58" t="s">
        <v>45</v>
      </c>
      <c r="J5" s="58" t="s">
        <v>44</v>
      </c>
      <c r="K5" s="58" t="s">
        <v>46</v>
      </c>
      <c r="L5" s="58" t="s">
        <v>44</v>
      </c>
      <c r="M5" s="58" t="s">
        <v>45</v>
      </c>
      <c r="N5" s="58" t="s">
        <v>44</v>
      </c>
      <c r="O5" s="58" t="s">
        <v>45</v>
      </c>
      <c r="P5" s="58" t="s">
        <v>44</v>
      </c>
      <c r="Q5" s="58" t="s">
        <v>46</v>
      </c>
      <c r="R5" s="58" t="s">
        <v>45</v>
      </c>
      <c r="S5" s="58" t="s">
        <v>45</v>
      </c>
      <c r="T5" s="58" t="s">
        <v>46</v>
      </c>
      <c r="U5" s="59" t="s">
        <v>44</v>
      </c>
      <c r="V5" s="59" t="s">
        <v>45</v>
      </c>
      <c r="W5" s="59" t="s">
        <v>44</v>
      </c>
      <c r="X5" s="59" t="s">
        <v>45</v>
      </c>
      <c r="Y5" s="59" t="s">
        <v>45</v>
      </c>
      <c r="Z5" s="77" t="s">
        <v>44</v>
      </c>
      <c r="AA5" s="81">
        <f t="shared" si="2"/>
        <v>4</v>
      </c>
      <c r="AB5" s="90">
        <f t="shared" si="3"/>
        <v>1</v>
      </c>
      <c r="AC5" s="85" t="str">
        <f t="shared" si="4"/>
        <v>A</v>
      </c>
      <c r="AD5" s="54"/>
    </row>
    <row r="6" spans="1:30" x14ac:dyDescent="0.2">
      <c r="A6" s="118">
        <v>46186</v>
      </c>
      <c r="B6" s="24" t="s">
        <v>53</v>
      </c>
      <c r="C6" s="36" t="str">
        <f t="shared" si="0"/>
        <v>Catar</v>
      </c>
      <c r="D6" s="36" t="str">
        <f t="shared" si="1"/>
        <v>Suíça</v>
      </c>
      <c r="E6" s="44" t="s">
        <v>50</v>
      </c>
      <c r="F6" s="112"/>
      <c r="G6" s="60" t="s">
        <v>45</v>
      </c>
      <c r="H6" s="61" t="s">
        <v>45</v>
      </c>
      <c r="I6" s="61" t="s">
        <v>45</v>
      </c>
      <c r="J6" s="61" t="s">
        <v>45</v>
      </c>
      <c r="K6" s="61" t="s">
        <v>45</v>
      </c>
      <c r="L6" s="61" t="s">
        <v>45</v>
      </c>
      <c r="M6" s="61" t="s">
        <v>45</v>
      </c>
      <c r="N6" s="61" t="s">
        <v>45</v>
      </c>
      <c r="O6" s="61" t="s">
        <v>45</v>
      </c>
      <c r="P6" s="61" t="s">
        <v>45</v>
      </c>
      <c r="Q6" s="61" t="s">
        <v>44</v>
      </c>
      <c r="R6" s="61" t="s">
        <v>45</v>
      </c>
      <c r="S6" s="61" t="s">
        <v>45</v>
      </c>
      <c r="T6" s="61" t="s">
        <v>45</v>
      </c>
      <c r="U6" s="62" t="s">
        <v>45</v>
      </c>
      <c r="V6" s="62" t="s">
        <v>45</v>
      </c>
      <c r="W6" s="62" t="s">
        <v>45</v>
      </c>
      <c r="X6" s="62" t="s">
        <v>45</v>
      </c>
      <c r="Y6" s="62" t="s">
        <v>45</v>
      </c>
      <c r="Z6" s="76" t="s">
        <v>45</v>
      </c>
      <c r="AA6" s="81">
        <f t="shared" si="2"/>
        <v>1</v>
      </c>
      <c r="AB6" s="90">
        <f t="shared" si="3"/>
        <v>1</v>
      </c>
      <c r="AC6" s="85" t="str">
        <f t="shared" si="4"/>
        <v>E</v>
      </c>
      <c r="AD6" s="54"/>
    </row>
    <row r="7" spans="1:30" x14ac:dyDescent="0.2">
      <c r="A7" s="119"/>
      <c r="B7" s="25" t="s">
        <v>54</v>
      </c>
      <c r="C7" s="37" t="str">
        <f t="shared" si="0"/>
        <v>Brasil</v>
      </c>
      <c r="D7" s="37" t="str">
        <f t="shared" si="1"/>
        <v>Marrocos</v>
      </c>
      <c r="E7" s="47" t="s">
        <v>50</v>
      </c>
      <c r="F7" s="114"/>
      <c r="G7" s="63" t="s">
        <v>44</v>
      </c>
      <c r="H7" s="64" t="s">
        <v>44</v>
      </c>
      <c r="I7" s="64" t="s">
        <v>44</v>
      </c>
      <c r="J7" s="64" t="s">
        <v>45</v>
      </c>
      <c r="K7" s="64" t="s">
        <v>44</v>
      </c>
      <c r="L7" s="64" t="s">
        <v>44</v>
      </c>
      <c r="M7" s="64" t="s">
        <v>44</v>
      </c>
      <c r="N7" s="64" t="s">
        <v>46</v>
      </c>
      <c r="O7" s="64" t="s">
        <v>46</v>
      </c>
      <c r="P7" s="64" t="s">
        <v>44</v>
      </c>
      <c r="Q7" s="64" t="s">
        <v>44</v>
      </c>
      <c r="R7" s="64" t="s">
        <v>44</v>
      </c>
      <c r="S7" s="64" t="s">
        <v>44</v>
      </c>
      <c r="T7" s="64" t="s">
        <v>44</v>
      </c>
      <c r="U7" s="64" t="s">
        <v>44</v>
      </c>
      <c r="V7" s="64" t="s">
        <v>44</v>
      </c>
      <c r="W7" s="64" t="s">
        <v>44</v>
      </c>
      <c r="X7" s="64" t="s">
        <v>44</v>
      </c>
      <c r="Y7" s="64" t="s">
        <v>44</v>
      </c>
      <c r="Z7" s="64" t="s">
        <v>44</v>
      </c>
      <c r="AA7" s="81">
        <f t="shared" si="2"/>
        <v>1</v>
      </c>
      <c r="AB7" s="90">
        <f t="shared" si="3"/>
        <v>1</v>
      </c>
      <c r="AC7" s="85" t="str">
        <f t="shared" si="4"/>
        <v>E</v>
      </c>
      <c r="AD7" s="54"/>
    </row>
    <row r="8" spans="1:30" x14ac:dyDescent="0.2">
      <c r="A8" s="120"/>
      <c r="B8" s="26" t="s">
        <v>55</v>
      </c>
      <c r="C8" s="38" t="str">
        <f t="shared" si="0"/>
        <v>Haiti</v>
      </c>
      <c r="D8" s="38" t="str">
        <f t="shared" si="1"/>
        <v>Escócia</v>
      </c>
      <c r="E8" s="48" t="s">
        <v>56</v>
      </c>
      <c r="F8" s="115"/>
      <c r="G8" s="65" t="s">
        <v>44</v>
      </c>
      <c r="H8" s="66" t="s">
        <v>44</v>
      </c>
      <c r="I8" s="66" t="s">
        <v>45</v>
      </c>
      <c r="J8" s="66" t="s">
        <v>45</v>
      </c>
      <c r="K8" s="66" t="s">
        <v>45</v>
      </c>
      <c r="L8" s="66" t="s">
        <v>45</v>
      </c>
      <c r="M8" s="66" t="s">
        <v>45</v>
      </c>
      <c r="N8" s="66" t="s">
        <v>45</v>
      </c>
      <c r="O8" s="66" t="s">
        <v>45</v>
      </c>
      <c r="P8" s="66" t="s">
        <v>45</v>
      </c>
      <c r="Q8" s="66" t="s">
        <v>45</v>
      </c>
      <c r="R8" s="66" t="s">
        <v>45</v>
      </c>
      <c r="S8" s="66" t="s">
        <v>45</v>
      </c>
      <c r="T8" s="66" t="s">
        <v>45</v>
      </c>
      <c r="U8" s="67" t="s">
        <v>45</v>
      </c>
      <c r="V8" s="67" t="s">
        <v>45</v>
      </c>
      <c r="W8" s="67" t="s">
        <v>45</v>
      </c>
      <c r="X8" s="67" t="s">
        <v>44</v>
      </c>
      <c r="Y8" s="67" t="s">
        <v>45</v>
      </c>
      <c r="Z8" s="78" t="s">
        <v>45</v>
      </c>
      <c r="AA8" s="81">
        <f t="shared" si="2"/>
        <v>0</v>
      </c>
      <c r="AB8" s="90">
        <f t="shared" si="3"/>
        <v>1</v>
      </c>
      <c r="AC8" s="85" t="str">
        <f t="shared" si="4"/>
        <v>B</v>
      </c>
      <c r="AD8" s="54"/>
    </row>
    <row r="9" spans="1:30" x14ac:dyDescent="0.2">
      <c r="A9" s="121"/>
      <c r="B9" s="27" t="s">
        <v>57</v>
      </c>
      <c r="C9" s="39" t="str">
        <f t="shared" si="0"/>
        <v>Austrália</v>
      </c>
      <c r="D9" s="39" t="str">
        <f t="shared" si="1"/>
        <v>Turquia</v>
      </c>
      <c r="E9" s="49" t="s">
        <v>43</v>
      </c>
      <c r="F9" s="116"/>
      <c r="G9" s="68" t="s">
        <v>44</v>
      </c>
      <c r="H9" s="69" t="s">
        <v>45</v>
      </c>
      <c r="I9" s="69" t="s">
        <v>45</v>
      </c>
      <c r="J9" s="69" t="s">
        <v>45</v>
      </c>
      <c r="K9" s="69" t="s">
        <v>45</v>
      </c>
      <c r="L9" s="69" t="s">
        <v>45</v>
      </c>
      <c r="M9" s="69" t="s">
        <v>45</v>
      </c>
      <c r="N9" s="69" t="s">
        <v>45</v>
      </c>
      <c r="O9" s="69" t="s">
        <v>45</v>
      </c>
      <c r="P9" s="69" t="s">
        <v>45</v>
      </c>
      <c r="Q9" s="69" t="s">
        <v>44</v>
      </c>
      <c r="R9" s="69" t="s">
        <v>44</v>
      </c>
      <c r="S9" s="69" t="s">
        <v>45</v>
      </c>
      <c r="T9" s="69" t="s">
        <v>45</v>
      </c>
      <c r="U9" s="70" t="s">
        <v>45</v>
      </c>
      <c r="V9" s="70" t="s">
        <v>45</v>
      </c>
      <c r="W9" s="70" t="s">
        <v>45</v>
      </c>
      <c r="X9" s="70" t="s">
        <v>44</v>
      </c>
      <c r="Y9" s="70" t="s">
        <v>45</v>
      </c>
      <c r="Z9" s="79" t="s">
        <v>45</v>
      </c>
      <c r="AA9" s="81">
        <f t="shared" si="2"/>
        <v>2</v>
      </c>
      <c r="AB9" s="90">
        <f t="shared" si="3"/>
        <v>0</v>
      </c>
      <c r="AC9" s="85" t="str">
        <f t="shared" si="4"/>
        <v>A</v>
      </c>
      <c r="AD9" s="54"/>
    </row>
    <row r="10" spans="1:30" x14ac:dyDescent="0.2">
      <c r="A10" s="103">
        <v>46187</v>
      </c>
      <c r="B10" s="22" t="s">
        <v>58</v>
      </c>
      <c r="C10" s="34" t="str">
        <f t="shared" si="0"/>
        <v>Alemanha</v>
      </c>
      <c r="D10" s="34" t="str">
        <f t="shared" si="1"/>
        <v>Curaçao</v>
      </c>
      <c r="E10" s="46" t="s">
        <v>59</v>
      </c>
      <c r="F10" s="112"/>
      <c r="G10" s="60" t="s">
        <v>44</v>
      </c>
      <c r="H10" s="61" t="s">
        <v>44</v>
      </c>
      <c r="I10" s="61" t="s">
        <v>44</v>
      </c>
      <c r="J10" s="61" t="s">
        <v>44</v>
      </c>
      <c r="K10" s="61" t="s">
        <v>44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2" t="s">
        <v>44</v>
      </c>
      <c r="V10" s="62" t="s">
        <v>44</v>
      </c>
      <c r="W10" s="62" t="s">
        <v>44</v>
      </c>
      <c r="X10" s="62"/>
      <c r="Y10" s="62" t="s">
        <v>44</v>
      </c>
      <c r="Z10" s="76" t="s">
        <v>44</v>
      </c>
      <c r="AA10" s="81">
        <f t="shared" si="2"/>
        <v>7</v>
      </c>
      <c r="AB10" s="90">
        <f t="shared" si="3"/>
        <v>1</v>
      </c>
      <c r="AC10" s="85" t="str">
        <f t="shared" si="4"/>
        <v>A</v>
      </c>
      <c r="AD10" s="54"/>
    </row>
    <row r="11" spans="1:30" x14ac:dyDescent="0.2">
      <c r="A11" s="104"/>
      <c r="B11" s="28" t="s">
        <v>60</v>
      </c>
      <c r="C11" s="40" t="str">
        <f t="shared" si="0"/>
        <v>Costa do Marfim</v>
      </c>
      <c r="D11" s="40" t="str">
        <f t="shared" si="1"/>
        <v>Equador</v>
      </c>
      <c r="E11" s="50" t="s">
        <v>61</v>
      </c>
      <c r="F11" s="114"/>
      <c r="G11" s="63" t="s">
        <v>44</v>
      </c>
      <c r="H11" s="71" t="s">
        <v>46</v>
      </c>
      <c r="I11" s="71" t="s">
        <v>44</v>
      </c>
      <c r="J11" s="71" t="s">
        <v>46</v>
      </c>
      <c r="K11" s="71" t="s">
        <v>46</v>
      </c>
      <c r="L11" s="71" t="s">
        <v>45</v>
      </c>
      <c r="M11" s="71" t="s">
        <v>46</v>
      </c>
      <c r="N11" s="71" t="s">
        <v>45</v>
      </c>
      <c r="O11" s="71" t="s">
        <v>45</v>
      </c>
      <c r="P11" s="71" t="s">
        <v>44</v>
      </c>
      <c r="Q11" s="71" t="s">
        <v>44</v>
      </c>
      <c r="R11" s="71" t="s">
        <v>46</v>
      </c>
      <c r="S11" s="71" t="s">
        <v>45</v>
      </c>
      <c r="T11" s="71" t="s">
        <v>45</v>
      </c>
      <c r="U11" s="56" t="s">
        <v>44</v>
      </c>
      <c r="V11" s="56" t="s">
        <v>46</v>
      </c>
      <c r="W11" s="56" t="s">
        <v>45</v>
      </c>
      <c r="X11" s="56" t="s">
        <v>45</v>
      </c>
      <c r="Y11" s="56" t="s">
        <v>44</v>
      </c>
      <c r="Z11" s="80" t="s">
        <v>45</v>
      </c>
      <c r="AA11" s="81">
        <f t="shared" si="2"/>
        <v>1</v>
      </c>
      <c r="AB11" s="90">
        <f t="shared" si="3"/>
        <v>0</v>
      </c>
      <c r="AC11" s="85" t="str">
        <f t="shared" si="4"/>
        <v>A</v>
      </c>
      <c r="AD11" s="54"/>
    </row>
    <row r="12" spans="1:30" x14ac:dyDescent="0.2">
      <c r="A12" s="105"/>
      <c r="B12" s="29" t="s">
        <v>62</v>
      </c>
      <c r="C12" s="41" t="str">
        <f t="shared" si="0"/>
        <v>Países Baixos</v>
      </c>
      <c r="D12" s="41" t="str">
        <f t="shared" si="1"/>
        <v>Japão</v>
      </c>
      <c r="E12" s="51" t="s">
        <v>63</v>
      </c>
      <c r="F12" s="115"/>
      <c r="G12" s="65" t="s">
        <v>44</v>
      </c>
      <c r="H12" s="66" t="s">
        <v>45</v>
      </c>
      <c r="I12" s="66" t="s">
        <v>46</v>
      </c>
      <c r="J12" s="66" t="s">
        <v>44</v>
      </c>
      <c r="K12" s="66" t="s">
        <v>45</v>
      </c>
      <c r="L12" s="66" t="s">
        <v>44</v>
      </c>
      <c r="M12" s="66" t="s">
        <v>44</v>
      </c>
      <c r="N12" s="66" t="s">
        <v>44</v>
      </c>
      <c r="O12" s="66" t="s">
        <v>44</v>
      </c>
      <c r="P12" s="66" t="s">
        <v>45</v>
      </c>
      <c r="Q12" s="66" t="s">
        <v>45</v>
      </c>
      <c r="R12" s="66" t="s">
        <v>44</v>
      </c>
      <c r="S12" s="66" t="s">
        <v>44</v>
      </c>
      <c r="T12" s="66" t="s">
        <v>46</v>
      </c>
      <c r="U12" s="67" t="s">
        <v>45</v>
      </c>
      <c r="V12" s="67" t="s">
        <v>45</v>
      </c>
      <c r="W12" s="67" t="s">
        <v>46</v>
      </c>
      <c r="X12" s="67" t="s">
        <v>44</v>
      </c>
      <c r="Y12" s="67" t="s">
        <v>44</v>
      </c>
      <c r="Z12" s="78" t="s">
        <v>44</v>
      </c>
      <c r="AA12" s="81">
        <f t="shared" si="2"/>
        <v>2</v>
      </c>
      <c r="AB12" s="90">
        <f t="shared" si="3"/>
        <v>2</v>
      </c>
      <c r="AC12" s="85" t="str">
        <f t="shared" si="4"/>
        <v>E</v>
      </c>
      <c r="AD12" s="54"/>
    </row>
    <row r="13" spans="1:30" x14ac:dyDescent="0.2">
      <c r="A13" s="106"/>
      <c r="B13" s="30" t="s">
        <v>64</v>
      </c>
      <c r="C13" s="42" t="str">
        <f t="shared" si="0"/>
        <v>Suécia</v>
      </c>
      <c r="D13" s="42" t="str">
        <f t="shared" si="1"/>
        <v>Tunísia</v>
      </c>
      <c r="E13" s="52" t="s">
        <v>65</v>
      </c>
      <c r="F13" s="116"/>
      <c r="G13" s="68" t="s">
        <v>46</v>
      </c>
      <c r="H13" s="69" t="s">
        <v>44</v>
      </c>
      <c r="I13" s="69" t="s">
        <v>44</v>
      </c>
      <c r="J13" s="69" t="s">
        <v>44</v>
      </c>
      <c r="K13" s="69" t="s">
        <v>44</v>
      </c>
      <c r="L13" s="69" t="s">
        <v>45</v>
      </c>
      <c r="M13" s="69" t="s">
        <v>44</v>
      </c>
      <c r="N13" s="69" t="s">
        <v>44</v>
      </c>
      <c r="O13" s="69" t="s">
        <v>46</v>
      </c>
      <c r="P13" s="69" t="s">
        <v>44</v>
      </c>
      <c r="Q13" s="69" t="s">
        <v>45</v>
      </c>
      <c r="R13" s="69" t="s">
        <v>46</v>
      </c>
      <c r="S13" s="69" t="s">
        <v>44</v>
      </c>
      <c r="T13" s="69" t="s">
        <v>44</v>
      </c>
      <c r="U13" s="70" t="s">
        <v>44</v>
      </c>
      <c r="V13" s="70" t="s">
        <v>46</v>
      </c>
      <c r="W13" s="70" t="s">
        <v>44</v>
      </c>
      <c r="X13" s="70" t="s">
        <v>44</v>
      </c>
      <c r="Y13" s="70" t="s">
        <v>44</v>
      </c>
      <c r="Z13" s="79" t="s">
        <v>44</v>
      </c>
      <c r="AA13" s="81">
        <f t="shared" si="2"/>
        <v>5</v>
      </c>
      <c r="AB13" s="90">
        <f t="shared" si="3"/>
        <v>1</v>
      </c>
      <c r="AC13" s="85" t="str">
        <f t="shared" si="4"/>
        <v>A</v>
      </c>
      <c r="AD13" s="54"/>
    </row>
    <row r="14" spans="1:30" x14ac:dyDescent="0.2">
      <c r="A14" s="118">
        <v>46188</v>
      </c>
      <c r="B14" s="24" t="s">
        <v>66</v>
      </c>
      <c r="C14" s="36" t="str">
        <f t="shared" si="0"/>
        <v>Bélgica</v>
      </c>
      <c r="D14" s="36" t="str">
        <f t="shared" si="1"/>
        <v>Egito</v>
      </c>
      <c r="E14" s="44" t="s">
        <v>50</v>
      </c>
      <c r="F14" s="112"/>
      <c r="G14" s="60" t="s">
        <v>44</v>
      </c>
      <c r="H14" s="60" t="s">
        <v>44</v>
      </c>
      <c r="I14" s="60" t="s">
        <v>44</v>
      </c>
      <c r="J14" s="61" t="s">
        <v>46</v>
      </c>
      <c r="K14" s="61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81">
        <f t="shared" si="2"/>
        <v>1</v>
      </c>
      <c r="AB14" s="90">
        <f t="shared" si="3"/>
        <v>1</v>
      </c>
      <c r="AC14" s="85" t="str">
        <f t="shared" si="4"/>
        <v>E</v>
      </c>
      <c r="AD14" s="54"/>
    </row>
    <row r="15" spans="1:30" x14ac:dyDescent="0.2">
      <c r="A15" s="119"/>
      <c r="B15" s="25" t="s">
        <v>67</v>
      </c>
      <c r="C15" s="37" t="str">
        <f t="shared" si="0"/>
        <v>Irã</v>
      </c>
      <c r="D15" s="37" t="str">
        <f t="shared" si="1"/>
        <v>Nova Zelândia</v>
      </c>
      <c r="E15" s="47" t="s">
        <v>63</v>
      </c>
      <c r="F15" s="114"/>
      <c r="G15" s="63" t="s">
        <v>46</v>
      </c>
      <c r="H15" s="71" t="s">
        <v>46</v>
      </c>
      <c r="I15" s="71" t="s">
        <v>44</v>
      </c>
      <c r="J15" s="71" t="s">
        <v>44</v>
      </c>
      <c r="K15" s="71" t="s">
        <v>46</v>
      </c>
      <c r="L15" s="71" t="s">
        <v>46</v>
      </c>
      <c r="M15" s="71" t="s">
        <v>44</v>
      </c>
      <c r="N15" s="71" t="s">
        <v>44</v>
      </c>
      <c r="O15" s="71" t="s">
        <v>44</v>
      </c>
      <c r="P15" s="71" t="s">
        <v>46</v>
      </c>
      <c r="Q15" s="71" t="s">
        <v>44</v>
      </c>
      <c r="R15" s="71" t="s">
        <v>46</v>
      </c>
      <c r="S15" s="71" t="s">
        <v>45</v>
      </c>
      <c r="T15" s="56" t="s">
        <v>44</v>
      </c>
      <c r="U15" s="56" t="s">
        <v>44</v>
      </c>
      <c r="V15" s="56" t="s">
        <v>44</v>
      </c>
      <c r="W15" s="56" t="s">
        <v>44</v>
      </c>
      <c r="X15" s="56" t="s">
        <v>44</v>
      </c>
      <c r="Y15" s="56" t="s">
        <v>45</v>
      </c>
      <c r="Z15" s="80" t="s">
        <v>44</v>
      </c>
      <c r="AA15" s="81">
        <f t="shared" si="2"/>
        <v>2</v>
      </c>
      <c r="AB15" s="90">
        <f t="shared" si="3"/>
        <v>2</v>
      </c>
      <c r="AC15" s="85" t="str">
        <f t="shared" si="4"/>
        <v>E</v>
      </c>
      <c r="AD15" s="54"/>
    </row>
    <row r="16" spans="1:30" ht="15.75" thickBot="1" x14ac:dyDescent="0.25">
      <c r="A16" s="120"/>
      <c r="B16" s="26" t="s">
        <v>68</v>
      </c>
      <c r="C16" s="38" t="str">
        <f t="shared" si="0"/>
        <v>Espanha</v>
      </c>
      <c r="D16" s="38" t="str">
        <f t="shared" si="1"/>
        <v>Cabo Verde</v>
      </c>
      <c r="E16" s="48" t="s">
        <v>69</v>
      </c>
      <c r="F16" s="115"/>
      <c r="G16" s="65" t="s">
        <v>44</v>
      </c>
      <c r="H16" s="65" t="s">
        <v>44</v>
      </c>
      <c r="I16" s="65" t="s">
        <v>44</v>
      </c>
      <c r="J16" s="65" t="s">
        <v>44</v>
      </c>
      <c r="K16" s="65" t="s">
        <v>44</v>
      </c>
      <c r="L16" s="65" t="s">
        <v>44</v>
      </c>
      <c r="M16" s="65" t="s">
        <v>44</v>
      </c>
      <c r="N16" s="65" t="s">
        <v>44</v>
      </c>
      <c r="O16" s="65" t="s">
        <v>44</v>
      </c>
      <c r="P16" s="65" t="s">
        <v>44</v>
      </c>
      <c r="Q16" s="65" t="s">
        <v>44</v>
      </c>
      <c r="R16" s="65" t="s">
        <v>44</v>
      </c>
      <c r="S16" s="65" t="s">
        <v>44</v>
      </c>
      <c r="T16" s="65" t="s">
        <v>44</v>
      </c>
      <c r="U16" s="65" t="s">
        <v>44</v>
      </c>
      <c r="V16" s="65" t="s">
        <v>44</v>
      </c>
      <c r="W16" s="65" t="s">
        <v>44</v>
      </c>
      <c r="X16" s="65" t="s">
        <v>44</v>
      </c>
      <c r="Y16" s="65" t="s">
        <v>44</v>
      </c>
      <c r="Z16" s="65" t="s">
        <v>44</v>
      </c>
      <c r="AA16" s="81">
        <f t="shared" si="2"/>
        <v>0</v>
      </c>
      <c r="AB16" s="90">
        <f t="shared" si="3"/>
        <v>0</v>
      </c>
      <c r="AC16" s="85" t="str">
        <f t="shared" si="4"/>
        <v>E</v>
      </c>
      <c r="AD16" s="54"/>
    </row>
    <row r="17" spans="1:30" ht="15.75" thickBot="1" x14ac:dyDescent="0.25">
      <c r="A17" s="121"/>
      <c r="B17" s="27" t="s">
        <v>70</v>
      </c>
      <c r="C17" s="39" t="str">
        <f t="shared" si="0"/>
        <v>Arábia Saudita</v>
      </c>
      <c r="D17" s="39" t="str">
        <f t="shared" si="1"/>
        <v>Uruguai</v>
      </c>
      <c r="E17" s="49" t="s">
        <v>50</v>
      </c>
      <c r="F17" s="116"/>
      <c r="G17" s="68" t="s">
        <v>45</v>
      </c>
      <c r="H17" s="68" t="s">
        <v>45</v>
      </c>
      <c r="I17" s="68" t="s">
        <v>45</v>
      </c>
      <c r="J17" s="68" t="s">
        <v>45</v>
      </c>
      <c r="K17" s="68" t="s">
        <v>45</v>
      </c>
      <c r="L17" s="68" t="s">
        <v>45</v>
      </c>
      <c r="M17" s="68" t="s">
        <v>45</v>
      </c>
      <c r="N17" s="68" t="s">
        <v>45</v>
      </c>
      <c r="O17" s="68" t="s">
        <v>45</v>
      </c>
      <c r="P17" s="68" t="s">
        <v>45</v>
      </c>
      <c r="Q17" s="69" t="s">
        <v>44</v>
      </c>
      <c r="R17" s="69" t="s">
        <v>45</v>
      </c>
      <c r="S17" s="69" t="s">
        <v>45</v>
      </c>
      <c r="T17" s="69" t="s">
        <v>45</v>
      </c>
      <c r="U17" s="69" t="s">
        <v>45</v>
      </c>
      <c r="V17" s="69" t="s">
        <v>45</v>
      </c>
      <c r="W17" s="69" t="s">
        <v>45</v>
      </c>
      <c r="X17" s="69" t="s">
        <v>45</v>
      </c>
      <c r="Y17" s="69" t="s">
        <v>45</v>
      </c>
      <c r="Z17" s="69" t="s">
        <v>45</v>
      </c>
      <c r="AA17" s="81">
        <f t="shared" si="2"/>
        <v>1</v>
      </c>
      <c r="AB17" s="90">
        <f t="shared" si="3"/>
        <v>1</v>
      </c>
      <c r="AC17" s="85" t="str">
        <f t="shared" si="4"/>
        <v>E</v>
      </c>
      <c r="AD17" s="54"/>
    </row>
    <row r="18" spans="1:30" ht="15.75" thickBot="1" x14ac:dyDescent="0.25">
      <c r="A18" s="103">
        <v>46189</v>
      </c>
      <c r="B18" s="22" t="s">
        <v>71</v>
      </c>
      <c r="C18" s="34" t="str">
        <f t="shared" si="0"/>
        <v>França</v>
      </c>
      <c r="D18" s="34" t="str">
        <f t="shared" si="1"/>
        <v>Senegal</v>
      </c>
      <c r="E18" s="46" t="s">
        <v>72</v>
      </c>
      <c r="F18" s="112"/>
      <c r="G18" s="72" t="s">
        <v>44</v>
      </c>
      <c r="H18" s="55" t="s">
        <v>44</v>
      </c>
      <c r="I18" s="55" t="s">
        <v>44</v>
      </c>
      <c r="J18" s="55" t="s">
        <v>44</v>
      </c>
      <c r="K18" s="55" t="s">
        <v>44</v>
      </c>
      <c r="L18" s="55" t="s">
        <v>44</v>
      </c>
      <c r="M18" s="55" t="s">
        <v>44</v>
      </c>
      <c r="N18" s="55" t="s">
        <v>44</v>
      </c>
      <c r="O18" s="55" t="s">
        <v>44</v>
      </c>
      <c r="P18" s="55" t="s">
        <v>44</v>
      </c>
      <c r="Q18" s="55" t="s">
        <v>44</v>
      </c>
      <c r="R18" s="55" t="s">
        <v>44</v>
      </c>
      <c r="S18" s="55" t="s">
        <v>44</v>
      </c>
      <c r="T18" s="55" t="s">
        <v>44</v>
      </c>
      <c r="U18" s="73" t="s">
        <v>44</v>
      </c>
      <c r="V18" s="73" t="s">
        <v>44</v>
      </c>
      <c r="W18" s="73" t="s">
        <v>44</v>
      </c>
      <c r="X18" s="73" t="s">
        <v>44</v>
      </c>
      <c r="Y18" s="73" t="s">
        <v>44</v>
      </c>
      <c r="Z18" s="76" t="s">
        <v>44</v>
      </c>
      <c r="AA18" s="81">
        <f t="shared" si="2"/>
        <v>3</v>
      </c>
      <c r="AB18" s="90">
        <f t="shared" si="3"/>
        <v>1</v>
      </c>
      <c r="AC18" s="85" t="str">
        <f t="shared" si="4"/>
        <v>A</v>
      </c>
      <c r="AD18" s="54"/>
    </row>
    <row r="19" spans="1:30" x14ac:dyDescent="0.2">
      <c r="A19" s="104"/>
      <c r="B19" s="28" t="s">
        <v>73</v>
      </c>
      <c r="C19" s="40" t="str">
        <f t="shared" si="0"/>
        <v>Iraque</v>
      </c>
      <c r="D19" s="40" t="str">
        <f t="shared" si="1"/>
        <v>Noruega</v>
      </c>
      <c r="E19" s="50" t="s">
        <v>130</v>
      </c>
      <c r="F19" s="114"/>
      <c r="G19" s="63" t="s">
        <v>46</v>
      </c>
      <c r="H19" s="71" t="s">
        <v>45</v>
      </c>
      <c r="I19" s="71" t="s">
        <v>45</v>
      </c>
      <c r="J19" s="71" t="s">
        <v>45</v>
      </c>
      <c r="K19" s="71" t="s">
        <v>45</v>
      </c>
      <c r="L19" s="71" t="s">
        <v>46</v>
      </c>
      <c r="M19" s="71" t="s">
        <v>45</v>
      </c>
      <c r="N19" s="71" t="s">
        <v>45</v>
      </c>
      <c r="O19" s="71" t="s">
        <v>46</v>
      </c>
      <c r="P19" s="71" t="s">
        <v>45</v>
      </c>
      <c r="Q19" s="71" t="s">
        <v>44</v>
      </c>
      <c r="R19" s="71" t="s">
        <v>46</v>
      </c>
      <c r="S19" s="71" t="s">
        <v>45</v>
      </c>
      <c r="T19" s="71" t="s">
        <v>45</v>
      </c>
      <c r="U19" s="56" t="s">
        <v>45</v>
      </c>
      <c r="V19" s="56" t="s">
        <v>45</v>
      </c>
      <c r="W19" s="56" t="s">
        <v>45</v>
      </c>
      <c r="X19" s="56" t="s">
        <v>45</v>
      </c>
      <c r="Y19" s="56" t="s">
        <v>45</v>
      </c>
      <c r="Z19" s="80" t="s">
        <v>44</v>
      </c>
      <c r="AA19" s="81">
        <f t="shared" si="2"/>
        <v>1</v>
      </c>
      <c r="AB19" s="90">
        <f t="shared" si="3"/>
        <v>4</v>
      </c>
      <c r="AC19" s="85" t="str">
        <f t="shared" si="4"/>
        <v>B</v>
      </c>
      <c r="AD19" s="54"/>
    </row>
    <row r="20" spans="1:30" x14ac:dyDescent="0.2">
      <c r="A20" s="105"/>
      <c r="B20" s="29" t="s">
        <v>75</v>
      </c>
      <c r="C20" s="41" t="str">
        <f t="shared" si="0"/>
        <v>Argentina</v>
      </c>
      <c r="D20" s="41" t="str">
        <f t="shared" si="1"/>
        <v>Argélia</v>
      </c>
      <c r="E20" s="51" t="s">
        <v>131</v>
      </c>
      <c r="F20" s="115"/>
      <c r="G20" s="65" t="s">
        <v>44</v>
      </c>
      <c r="H20" s="66" t="s">
        <v>44</v>
      </c>
      <c r="I20" s="66" t="s">
        <v>44</v>
      </c>
      <c r="J20" s="66" t="s">
        <v>44</v>
      </c>
      <c r="K20" s="66" t="s">
        <v>44</v>
      </c>
      <c r="L20" s="66" t="s">
        <v>44</v>
      </c>
      <c r="M20" s="66" t="s">
        <v>44</v>
      </c>
      <c r="N20" s="66" t="s">
        <v>44</v>
      </c>
      <c r="O20" s="66" t="s">
        <v>44</v>
      </c>
      <c r="P20" s="66" t="s">
        <v>44</v>
      </c>
      <c r="Q20" s="66" t="s">
        <v>44</v>
      </c>
      <c r="R20" s="66" t="s">
        <v>44</v>
      </c>
      <c r="S20" s="66" t="s">
        <v>44</v>
      </c>
      <c r="T20" s="66" t="s">
        <v>46</v>
      </c>
      <c r="U20" s="67" t="s">
        <v>44</v>
      </c>
      <c r="V20" s="67" t="s">
        <v>44</v>
      </c>
      <c r="W20" s="67" t="s">
        <v>44</v>
      </c>
      <c r="X20" s="67" t="s">
        <v>44</v>
      </c>
      <c r="Y20" s="67" t="s">
        <v>44</v>
      </c>
      <c r="Z20" s="78" t="s">
        <v>44</v>
      </c>
      <c r="AA20" s="81">
        <f t="shared" si="2"/>
        <v>3</v>
      </c>
      <c r="AB20" s="90">
        <f t="shared" si="3"/>
        <v>0</v>
      </c>
      <c r="AC20" s="85" t="str">
        <f t="shared" si="4"/>
        <v>A</v>
      </c>
      <c r="AD20" s="54"/>
    </row>
    <row r="21" spans="1:30" ht="15.75" thickBot="1" x14ac:dyDescent="0.25">
      <c r="A21" s="106"/>
      <c r="B21" s="30" t="s">
        <v>76</v>
      </c>
      <c r="C21" s="42" t="str">
        <f t="shared" si="0"/>
        <v>Áustria</v>
      </c>
      <c r="D21" s="42" t="str">
        <f t="shared" si="1"/>
        <v>Jordânia</v>
      </c>
      <c r="E21" s="52" t="s">
        <v>72</v>
      </c>
      <c r="F21" s="116"/>
      <c r="G21" s="91" t="s">
        <v>44</v>
      </c>
      <c r="H21" s="92" t="s">
        <v>46</v>
      </c>
      <c r="I21" s="92" t="s">
        <v>46</v>
      </c>
      <c r="J21" s="93" t="s">
        <v>44</v>
      </c>
      <c r="K21" s="93" t="s">
        <v>44</v>
      </c>
      <c r="L21" s="93" t="s">
        <v>44</v>
      </c>
      <c r="M21" s="93" t="s">
        <v>44</v>
      </c>
      <c r="N21" s="93" t="s">
        <v>44</v>
      </c>
      <c r="O21" s="93" t="s">
        <v>44</v>
      </c>
      <c r="P21" s="93" t="s">
        <v>44</v>
      </c>
      <c r="Q21" s="93" t="s">
        <v>44</v>
      </c>
      <c r="R21" s="93" t="s">
        <v>44</v>
      </c>
      <c r="S21" s="92" t="s">
        <v>46</v>
      </c>
      <c r="T21" s="93" t="s">
        <v>44</v>
      </c>
      <c r="U21" s="94" t="s">
        <v>44</v>
      </c>
      <c r="V21" s="95" t="s">
        <v>46</v>
      </c>
      <c r="W21" s="94" t="s">
        <v>44</v>
      </c>
      <c r="X21" s="95" t="s">
        <v>46</v>
      </c>
      <c r="Y21" s="94" t="s">
        <v>44</v>
      </c>
      <c r="Z21" s="96" t="s">
        <v>44</v>
      </c>
      <c r="AA21" s="81">
        <f t="shared" ref="AA21:AA73" si="5">IFERROR(VALUE(TRIM(LEFT($E21,SEARCH("x",$E21)-1))),"")</f>
        <v>3</v>
      </c>
      <c r="AB21" s="90">
        <f t="shared" ref="AB21:AB73" si="6">IFERROR(VALUE(TRIM(MID($E21,SEARCH("x",$E21)+1,10))),"")</f>
        <v>1</v>
      </c>
      <c r="AC21" s="85" t="str">
        <f t="shared" si="4"/>
        <v>A</v>
      </c>
      <c r="AD21" s="54"/>
    </row>
    <row r="22" spans="1:30" ht="15.75" thickBot="1" x14ac:dyDescent="0.25">
      <c r="A22" s="118">
        <v>46190</v>
      </c>
      <c r="B22" s="24" t="s">
        <v>77</v>
      </c>
      <c r="C22" s="36" t="str">
        <f t="shared" si="0"/>
        <v>Portugal</v>
      </c>
      <c r="D22" s="36" t="str">
        <f t="shared" si="1"/>
        <v>Rep. Dem. Congo</v>
      </c>
      <c r="E22" s="44" t="s">
        <v>50</v>
      </c>
      <c r="F22" s="112"/>
      <c r="G22" s="91" t="s">
        <v>44</v>
      </c>
      <c r="H22" s="91" t="s">
        <v>44</v>
      </c>
      <c r="I22" s="91" t="s">
        <v>44</v>
      </c>
      <c r="J22" s="91" t="s">
        <v>44</v>
      </c>
      <c r="K22" s="91" t="s">
        <v>44</v>
      </c>
      <c r="L22" s="91" t="s">
        <v>44</v>
      </c>
      <c r="M22" s="91" t="s">
        <v>44</v>
      </c>
      <c r="N22" s="91" t="s">
        <v>44</v>
      </c>
      <c r="O22" s="91" t="s">
        <v>44</v>
      </c>
      <c r="P22" s="91" t="s">
        <v>44</v>
      </c>
      <c r="Q22" s="91" t="s">
        <v>44</v>
      </c>
      <c r="R22" s="91" t="s">
        <v>44</v>
      </c>
      <c r="S22" s="91" t="s">
        <v>44</v>
      </c>
      <c r="T22" s="91" t="s">
        <v>44</v>
      </c>
      <c r="U22" s="91" t="s">
        <v>44</v>
      </c>
      <c r="V22" s="91" t="s">
        <v>44</v>
      </c>
      <c r="W22" s="91" t="s">
        <v>44</v>
      </c>
      <c r="X22" s="91" t="s">
        <v>44</v>
      </c>
      <c r="Y22" s="91" t="s">
        <v>44</v>
      </c>
      <c r="Z22" s="91" t="s">
        <v>44</v>
      </c>
      <c r="AA22" s="81">
        <f t="shared" si="5"/>
        <v>1</v>
      </c>
      <c r="AB22" s="90">
        <f t="shared" si="6"/>
        <v>1</v>
      </c>
      <c r="AC22" s="85" t="str">
        <f t="shared" si="4"/>
        <v>E</v>
      </c>
      <c r="AD22" s="54"/>
    </row>
    <row r="23" spans="1:30" ht="15.75" thickBot="1" x14ac:dyDescent="0.25">
      <c r="A23" s="119"/>
      <c r="B23" s="25" t="s">
        <v>78</v>
      </c>
      <c r="C23" s="37" t="str">
        <f t="shared" si="0"/>
        <v>Uzbequistão</v>
      </c>
      <c r="D23" s="37" t="str">
        <f t="shared" si="1"/>
        <v>Colômbia</v>
      </c>
      <c r="E23" s="44" t="s">
        <v>133</v>
      </c>
      <c r="F23" s="114"/>
      <c r="G23" s="63" t="s">
        <v>45</v>
      </c>
      <c r="H23" s="63" t="s">
        <v>45</v>
      </c>
      <c r="I23" s="63" t="s">
        <v>45</v>
      </c>
      <c r="J23" s="63" t="s">
        <v>46</v>
      </c>
      <c r="K23" s="63" t="s">
        <v>45</v>
      </c>
      <c r="L23" s="63" t="s">
        <v>45</v>
      </c>
      <c r="M23" s="63" t="s">
        <v>45</v>
      </c>
      <c r="N23" s="63" t="s">
        <v>45</v>
      </c>
      <c r="O23" s="63" t="s">
        <v>45</v>
      </c>
      <c r="P23" s="63" t="s">
        <v>45</v>
      </c>
      <c r="Q23" s="63" t="s">
        <v>45</v>
      </c>
      <c r="R23" s="63" t="s">
        <v>45</v>
      </c>
      <c r="S23" s="63" t="s">
        <v>45</v>
      </c>
      <c r="T23" s="63" t="s">
        <v>45</v>
      </c>
      <c r="U23" s="63" t="s">
        <v>45</v>
      </c>
      <c r="V23" s="63" t="s">
        <v>45</v>
      </c>
      <c r="W23" s="63" t="s">
        <v>45</v>
      </c>
      <c r="X23" s="63" t="s">
        <v>45</v>
      </c>
      <c r="Y23" s="63" t="s">
        <v>45</v>
      </c>
      <c r="Z23" s="63" t="s">
        <v>45</v>
      </c>
      <c r="AA23" s="81">
        <f t="shared" si="5"/>
        <v>1</v>
      </c>
      <c r="AB23" s="90">
        <f t="shared" si="6"/>
        <v>3</v>
      </c>
      <c r="AC23" s="85" t="str">
        <f t="shared" si="4"/>
        <v>B</v>
      </c>
      <c r="AD23" s="54"/>
    </row>
    <row r="24" spans="1:30" ht="15.75" thickBot="1" x14ac:dyDescent="0.25">
      <c r="A24" s="120"/>
      <c r="B24" s="26" t="s">
        <v>79</v>
      </c>
      <c r="C24" s="38" t="str">
        <f t="shared" si="0"/>
        <v>Inglaterra</v>
      </c>
      <c r="D24" s="38" t="str">
        <f t="shared" si="1"/>
        <v>Croácia</v>
      </c>
      <c r="E24" s="44" t="s">
        <v>132</v>
      </c>
      <c r="F24" s="115"/>
      <c r="G24" s="97" t="s">
        <v>44</v>
      </c>
      <c r="H24" s="97" t="s">
        <v>44</v>
      </c>
      <c r="I24" s="97" t="s">
        <v>44</v>
      </c>
      <c r="J24" s="97" t="s">
        <v>44</v>
      </c>
      <c r="K24" s="97" t="s">
        <v>44</v>
      </c>
      <c r="L24" s="97" t="s">
        <v>44</v>
      </c>
      <c r="M24" s="97" t="s">
        <v>44</v>
      </c>
      <c r="N24" s="97" t="s">
        <v>44</v>
      </c>
      <c r="O24" s="98" t="s">
        <v>46</v>
      </c>
      <c r="P24" s="98" t="s">
        <v>44</v>
      </c>
      <c r="Q24" s="98" t="s">
        <v>45</v>
      </c>
      <c r="R24" s="98" t="s">
        <v>44</v>
      </c>
      <c r="S24" s="98" t="s">
        <v>45</v>
      </c>
      <c r="T24" s="98" t="s">
        <v>46</v>
      </c>
      <c r="U24" s="99" t="s">
        <v>44</v>
      </c>
      <c r="V24" s="99" t="s">
        <v>44</v>
      </c>
      <c r="W24" s="99" t="s">
        <v>46</v>
      </c>
      <c r="X24" s="99" t="s">
        <v>44</v>
      </c>
      <c r="Y24" s="99" t="s">
        <v>46</v>
      </c>
      <c r="Z24" s="100" t="s">
        <v>45</v>
      </c>
      <c r="AA24" s="81">
        <f t="shared" si="5"/>
        <v>4</v>
      </c>
      <c r="AB24" s="90">
        <f t="shared" si="6"/>
        <v>2</v>
      </c>
      <c r="AC24" s="85" t="str">
        <f t="shared" si="4"/>
        <v>A</v>
      </c>
      <c r="AD24" s="54"/>
    </row>
    <row r="25" spans="1:30" ht="15.75" thickBot="1" x14ac:dyDescent="0.25">
      <c r="A25" s="121"/>
      <c r="B25" s="27" t="s">
        <v>80</v>
      </c>
      <c r="C25" s="39" t="str">
        <f t="shared" si="0"/>
        <v>Gana</v>
      </c>
      <c r="D25" s="39" t="str">
        <f t="shared" si="1"/>
        <v>Panamá</v>
      </c>
      <c r="E25" s="44" t="s">
        <v>61</v>
      </c>
      <c r="F25" s="116"/>
      <c r="G25" s="101" t="s">
        <v>44</v>
      </c>
      <c r="H25" s="102" t="s">
        <v>44</v>
      </c>
      <c r="I25" s="102" t="s">
        <v>44</v>
      </c>
      <c r="J25" s="102" t="s">
        <v>46</v>
      </c>
      <c r="K25" s="102" t="s">
        <v>44</v>
      </c>
      <c r="L25" s="102" t="s">
        <v>46</v>
      </c>
      <c r="M25" s="102" t="s">
        <v>44</v>
      </c>
      <c r="N25" s="102" t="s">
        <v>44</v>
      </c>
      <c r="O25" s="102" t="s">
        <v>44</v>
      </c>
      <c r="P25" s="102" t="s">
        <v>44</v>
      </c>
      <c r="Q25" s="102" t="s">
        <v>44</v>
      </c>
      <c r="R25" s="102" t="s">
        <v>44</v>
      </c>
      <c r="S25" s="102" t="s">
        <v>46</v>
      </c>
      <c r="T25" s="102" t="s">
        <v>44</v>
      </c>
      <c r="U25" s="102" t="s">
        <v>44</v>
      </c>
      <c r="V25" s="102" t="s">
        <v>44</v>
      </c>
      <c r="W25" s="102" t="s">
        <v>44</v>
      </c>
      <c r="X25" s="102" t="s">
        <v>44</v>
      </c>
      <c r="Y25" s="102" t="s">
        <v>44</v>
      </c>
      <c r="Z25" s="102" t="s">
        <v>44</v>
      </c>
      <c r="AA25" s="81">
        <f t="shared" si="5"/>
        <v>1</v>
      </c>
      <c r="AB25" s="90">
        <f t="shared" si="6"/>
        <v>0</v>
      </c>
      <c r="AC25" s="85" t="str">
        <f t="shared" si="4"/>
        <v>A</v>
      </c>
      <c r="AD25" s="54"/>
    </row>
    <row r="26" spans="1:30" ht="15.75" thickBot="1" x14ac:dyDescent="0.25">
      <c r="A26" s="103">
        <v>46191</v>
      </c>
      <c r="B26" s="22" t="s">
        <v>81</v>
      </c>
      <c r="C26" s="34" t="str">
        <f t="shared" si="0"/>
        <v>Tchéquia</v>
      </c>
      <c r="D26" s="34" t="str">
        <f t="shared" si="1"/>
        <v>África do Sul</v>
      </c>
      <c r="E26" s="44" t="s">
        <v>50</v>
      </c>
      <c r="F26" s="112"/>
      <c r="G26" s="60" t="s">
        <v>44</v>
      </c>
      <c r="H26" s="61" t="s">
        <v>44</v>
      </c>
      <c r="I26" s="61" t="s">
        <v>44</v>
      </c>
      <c r="J26" s="61" t="s">
        <v>44</v>
      </c>
      <c r="K26" s="61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46</v>
      </c>
      <c r="S26" s="61" t="s">
        <v>46</v>
      </c>
      <c r="T26" s="61" t="s">
        <v>44</v>
      </c>
      <c r="U26" s="62" t="s">
        <v>44</v>
      </c>
      <c r="V26" s="62" t="s">
        <v>44</v>
      </c>
      <c r="W26" s="62" t="s">
        <v>45</v>
      </c>
      <c r="X26" s="62" t="s">
        <v>45</v>
      </c>
      <c r="Y26" s="62" t="s">
        <v>44</v>
      </c>
      <c r="Z26" s="76" t="s">
        <v>44</v>
      </c>
      <c r="AA26" s="81">
        <f t="shared" si="5"/>
        <v>1</v>
      </c>
      <c r="AB26" s="90">
        <f t="shared" si="6"/>
        <v>1</v>
      </c>
      <c r="AC26" s="85" t="str">
        <f t="shared" si="4"/>
        <v>E</v>
      </c>
      <c r="AD26" s="54"/>
    </row>
    <row r="27" spans="1:30" ht="15.75" thickBot="1" x14ac:dyDescent="0.25">
      <c r="A27" s="104"/>
      <c r="B27" s="28" t="s">
        <v>82</v>
      </c>
      <c r="C27" s="40" t="str">
        <f t="shared" si="0"/>
        <v>México</v>
      </c>
      <c r="D27" s="40" t="str">
        <f t="shared" si="1"/>
        <v>Coreia do Sul</v>
      </c>
      <c r="E27" s="44" t="s">
        <v>61</v>
      </c>
      <c r="F27" s="114"/>
      <c r="G27" s="63" t="s">
        <v>44</v>
      </c>
      <c r="H27" s="71" t="s">
        <v>44</v>
      </c>
      <c r="I27" s="71" t="s">
        <v>45</v>
      </c>
      <c r="J27" s="71" t="s">
        <v>44</v>
      </c>
      <c r="K27" s="71" t="s">
        <v>45</v>
      </c>
      <c r="L27" s="71" t="s">
        <v>45</v>
      </c>
      <c r="M27" s="71" t="s">
        <v>44</v>
      </c>
      <c r="N27" s="71" t="s">
        <v>44</v>
      </c>
      <c r="O27" s="71" t="s">
        <v>44</v>
      </c>
      <c r="P27" s="71" t="s">
        <v>45</v>
      </c>
      <c r="Q27" s="71" t="s">
        <v>44</v>
      </c>
      <c r="R27" s="71" t="s">
        <v>46</v>
      </c>
      <c r="S27" s="71" t="s">
        <v>46</v>
      </c>
      <c r="T27" s="71" t="s">
        <v>46</v>
      </c>
      <c r="U27" s="56" t="s">
        <v>44</v>
      </c>
      <c r="V27" s="56" t="s">
        <v>45</v>
      </c>
      <c r="W27" s="56" t="s">
        <v>45</v>
      </c>
      <c r="X27" s="56" t="s">
        <v>45</v>
      </c>
      <c r="Y27" s="56" t="s">
        <v>45</v>
      </c>
      <c r="Z27" s="80"/>
      <c r="AA27" s="81">
        <f t="shared" si="5"/>
        <v>1</v>
      </c>
      <c r="AB27" s="90">
        <f t="shared" si="6"/>
        <v>0</v>
      </c>
      <c r="AC27" s="85" t="str">
        <f t="shared" si="4"/>
        <v>A</v>
      </c>
      <c r="AD27" s="54"/>
    </row>
    <row r="28" spans="1:30" ht="15.75" thickBot="1" x14ac:dyDescent="0.25">
      <c r="A28" s="105"/>
      <c r="B28" s="29" t="s">
        <v>83</v>
      </c>
      <c r="C28" s="41" t="str">
        <f t="shared" si="0"/>
        <v>Suíça</v>
      </c>
      <c r="D28" s="41" t="str">
        <f t="shared" si="1"/>
        <v>Bósnia e Herzeg.</v>
      </c>
      <c r="E28" s="44" t="s">
        <v>52</v>
      </c>
      <c r="F28" s="115"/>
      <c r="G28" s="65" t="s">
        <v>44</v>
      </c>
      <c r="H28" s="66" t="s">
        <v>44</v>
      </c>
      <c r="I28" s="66" t="s">
        <v>46</v>
      </c>
      <c r="J28" s="66" t="s">
        <v>44</v>
      </c>
      <c r="K28" s="66" t="s">
        <v>44</v>
      </c>
      <c r="L28" s="66" t="s">
        <v>44</v>
      </c>
      <c r="M28" s="66" t="s">
        <v>44</v>
      </c>
      <c r="N28" s="66" t="s">
        <v>44</v>
      </c>
      <c r="O28" s="66" t="s">
        <v>44</v>
      </c>
      <c r="P28" s="66" t="s">
        <v>44</v>
      </c>
      <c r="Q28" s="66" t="s">
        <v>44</v>
      </c>
      <c r="R28" s="66" t="s">
        <v>46</v>
      </c>
      <c r="S28" s="66" t="s">
        <v>44</v>
      </c>
      <c r="T28" s="66" t="s">
        <v>46</v>
      </c>
      <c r="U28" s="67" t="s">
        <v>44</v>
      </c>
      <c r="V28" s="67" t="s">
        <v>44</v>
      </c>
      <c r="W28" s="67" t="s">
        <v>44</v>
      </c>
      <c r="X28" s="67" t="s">
        <v>44</v>
      </c>
      <c r="Y28" s="67" t="s">
        <v>44</v>
      </c>
      <c r="Z28" s="78"/>
      <c r="AA28" s="81">
        <f t="shared" si="5"/>
        <v>4</v>
      </c>
      <c r="AB28" s="90">
        <f t="shared" si="6"/>
        <v>1</v>
      </c>
      <c r="AC28" s="85" t="str">
        <f t="shared" si="4"/>
        <v>A</v>
      </c>
      <c r="AD28" s="54"/>
    </row>
    <row r="29" spans="1:30" ht="15.75" thickBot="1" x14ac:dyDescent="0.25">
      <c r="A29" s="106"/>
      <c r="B29" s="30" t="s">
        <v>84</v>
      </c>
      <c r="C29" s="42" t="str">
        <f t="shared" si="0"/>
        <v>Canadá</v>
      </c>
      <c r="D29" s="42" t="str">
        <f t="shared" si="1"/>
        <v>Catar</v>
      </c>
      <c r="E29" s="44" t="s">
        <v>134</v>
      </c>
      <c r="F29" s="116"/>
      <c r="G29" s="68" t="s">
        <v>44</v>
      </c>
      <c r="H29" s="69" t="s">
        <v>44</v>
      </c>
      <c r="I29" s="69" t="s">
        <v>44</v>
      </c>
      <c r="J29" s="69" t="s">
        <v>44</v>
      </c>
      <c r="K29" s="69" t="s">
        <v>44</v>
      </c>
      <c r="L29" s="69" t="s">
        <v>44</v>
      </c>
      <c r="M29" s="69" t="s">
        <v>44</v>
      </c>
      <c r="N29" s="69" t="s">
        <v>44</v>
      </c>
      <c r="O29" s="69" t="s">
        <v>44</v>
      </c>
      <c r="P29" s="69" t="s">
        <v>44</v>
      </c>
      <c r="Q29" s="69" t="s">
        <v>44</v>
      </c>
      <c r="R29" s="69" t="s">
        <v>44</v>
      </c>
      <c r="S29" s="69" t="s">
        <v>46</v>
      </c>
      <c r="T29" s="69" t="s">
        <v>44</v>
      </c>
      <c r="U29" s="70" t="s">
        <v>44</v>
      </c>
      <c r="V29" s="70" t="s">
        <v>44</v>
      </c>
      <c r="W29" s="70" t="s">
        <v>45</v>
      </c>
      <c r="X29" s="70" t="s">
        <v>45</v>
      </c>
      <c r="Y29" s="70" t="s">
        <v>44</v>
      </c>
      <c r="Z29" s="79"/>
      <c r="AA29" s="81">
        <f t="shared" si="5"/>
        <v>6</v>
      </c>
      <c r="AB29" s="90">
        <f t="shared" si="6"/>
        <v>0</v>
      </c>
      <c r="AC29" s="85" t="str">
        <f t="shared" si="4"/>
        <v>A</v>
      </c>
      <c r="AD29" s="54"/>
    </row>
    <row r="30" spans="1:30" ht="15.75" thickBot="1" x14ac:dyDescent="0.25">
      <c r="A30" s="118">
        <v>46192</v>
      </c>
      <c r="B30" s="24" t="s">
        <v>85</v>
      </c>
      <c r="C30" s="36" t="str">
        <f t="shared" si="0"/>
        <v>Escócia</v>
      </c>
      <c r="D30" s="36" t="str">
        <f t="shared" si="1"/>
        <v>Marrocos</v>
      </c>
      <c r="E30" s="44" t="s">
        <v>56</v>
      </c>
      <c r="F30" s="112"/>
      <c r="G30" s="60" t="s">
        <v>45</v>
      </c>
      <c r="H30" s="61" t="s">
        <v>45</v>
      </c>
      <c r="I30" s="61" t="s">
        <v>45</v>
      </c>
      <c r="J30" s="61" t="s">
        <v>45</v>
      </c>
      <c r="K30" s="61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/>
      <c r="T30" s="61" t="s">
        <v>46</v>
      </c>
      <c r="U30" s="62" t="s">
        <v>45</v>
      </c>
      <c r="V30" s="62" t="s">
        <v>45</v>
      </c>
      <c r="W30" s="62" t="s">
        <v>45</v>
      </c>
      <c r="X30" s="62" t="s">
        <v>45</v>
      </c>
      <c r="Y30" s="62" t="s">
        <v>45</v>
      </c>
      <c r="Z30" s="76" t="s">
        <v>45</v>
      </c>
      <c r="AA30" s="81">
        <f t="shared" si="5"/>
        <v>0</v>
      </c>
      <c r="AB30" s="90">
        <f t="shared" si="6"/>
        <v>1</v>
      </c>
      <c r="AC30" s="85" t="str">
        <f t="shared" si="4"/>
        <v>B</v>
      </c>
      <c r="AD30" s="54"/>
    </row>
    <row r="31" spans="1:30" ht="15.75" thickBot="1" x14ac:dyDescent="0.25">
      <c r="A31" s="119"/>
      <c r="B31" s="25" t="s">
        <v>86</v>
      </c>
      <c r="C31" s="37" t="str">
        <f t="shared" si="0"/>
        <v>Brasil</v>
      </c>
      <c r="D31" s="37" t="str">
        <f t="shared" si="1"/>
        <v>Haiti</v>
      </c>
      <c r="E31" s="47" t="s">
        <v>131</v>
      </c>
      <c r="F31" s="114"/>
      <c r="G31" s="63" t="s">
        <v>44</v>
      </c>
      <c r="H31" s="71" t="s">
        <v>44</v>
      </c>
      <c r="I31" s="71" t="s">
        <v>44</v>
      </c>
      <c r="J31" s="71" t="s">
        <v>44</v>
      </c>
      <c r="K31" s="71" t="s">
        <v>44</v>
      </c>
      <c r="L31" s="71" t="s">
        <v>44</v>
      </c>
      <c r="M31" s="71" t="s">
        <v>44</v>
      </c>
      <c r="N31" s="71" t="s">
        <v>44</v>
      </c>
      <c r="O31" s="71" t="s">
        <v>44</v>
      </c>
      <c r="P31" s="71" t="s">
        <v>44</v>
      </c>
      <c r="Q31" s="71" t="s">
        <v>44</v>
      </c>
      <c r="R31" s="71" t="s">
        <v>44</v>
      </c>
      <c r="S31" s="71" t="s">
        <v>44</v>
      </c>
      <c r="T31" s="71" t="s">
        <v>44</v>
      </c>
      <c r="U31" s="56" t="s">
        <v>44</v>
      </c>
      <c r="V31" s="56" t="s">
        <v>44</v>
      </c>
      <c r="W31" s="56" t="s">
        <v>44</v>
      </c>
      <c r="X31" s="56" t="s">
        <v>44</v>
      </c>
      <c r="Y31" s="56" t="s">
        <v>44</v>
      </c>
      <c r="Z31" s="80" t="s">
        <v>44</v>
      </c>
      <c r="AA31" s="81">
        <f t="shared" si="5"/>
        <v>3</v>
      </c>
      <c r="AB31" s="90">
        <f t="shared" si="6"/>
        <v>0</v>
      </c>
      <c r="AC31" s="85" t="str">
        <f t="shared" si="4"/>
        <v>A</v>
      </c>
      <c r="AD31" s="54"/>
    </row>
    <row r="32" spans="1:30" ht="15.75" thickBot="1" x14ac:dyDescent="0.25">
      <c r="A32" s="120"/>
      <c r="B32" s="26" t="s">
        <v>87</v>
      </c>
      <c r="C32" s="38" t="str">
        <f t="shared" si="0"/>
        <v>Estados Unidos</v>
      </c>
      <c r="D32" s="38" t="str">
        <f t="shared" si="1"/>
        <v>Austrália</v>
      </c>
      <c r="E32" s="48" t="s">
        <v>43</v>
      </c>
      <c r="F32" s="115"/>
      <c r="G32" s="65" t="s">
        <v>44</v>
      </c>
      <c r="H32" s="66" t="s">
        <v>44</v>
      </c>
      <c r="I32" s="66" t="s">
        <v>44</v>
      </c>
      <c r="J32" s="66" t="s">
        <v>44</v>
      </c>
      <c r="K32" s="66" t="s">
        <v>46</v>
      </c>
      <c r="L32" s="66" t="s">
        <v>44</v>
      </c>
      <c r="M32" s="66" t="s">
        <v>44</v>
      </c>
      <c r="N32" s="66" t="s">
        <v>44</v>
      </c>
      <c r="O32" s="66" t="s">
        <v>44</v>
      </c>
      <c r="P32" s="66" t="s">
        <v>44</v>
      </c>
      <c r="Q32" s="66" t="s">
        <v>44</v>
      </c>
      <c r="R32" s="66" t="s">
        <v>44</v>
      </c>
      <c r="S32" s="66"/>
      <c r="T32" s="66" t="s">
        <v>46</v>
      </c>
      <c r="U32" s="67" t="s">
        <v>44</v>
      </c>
      <c r="V32" s="67" t="s">
        <v>44</v>
      </c>
      <c r="W32" s="67" t="s">
        <v>44</v>
      </c>
      <c r="X32" s="67" t="s">
        <v>44</v>
      </c>
      <c r="Y32" s="67" t="s">
        <v>44</v>
      </c>
      <c r="Z32" s="78" t="s">
        <v>44</v>
      </c>
      <c r="AA32" s="81">
        <f t="shared" si="5"/>
        <v>2</v>
      </c>
      <c r="AB32" s="90">
        <f t="shared" si="6"/>
        <v>0</v>
      </c>
      <c r="AC32" s="85" t="str">
        <f t="shared" si="4"/>
        <v>A</v>
      </c>
      <c r="AD32" s="54"/>
    </row>
    <row r="33" spans="1:30" ht="15.75" thickBot="1" x14ac:dyDescent="0.25">
      <c r="A33" s="121"/>
      <c r="B33" s="27" t="s">
        <v>88</v>
      </c>
      <c r="C33" s="39" t="str">
        <f t="shared" si="0"/>
        <v>Turquia</v>
      </c>
      <c r="D33" s="39" t="str">
        <f t="shared" si="1"/>
        <v>Paraguai</v>
      </c>
      <c r="E33" s="49" t="s">
        <v>56</v>
      </c>
      <c r="F33" s="116"/>
      <c r="G33" s="68" t="s">
        <v>44</v>
      </c>
      <c r="H33" s="69" t="s">
        <v>45</v>
      </c>
      <c r="I33" s="69" t="s">
        <v>44</v>
      </c>
      <c r="J33" s="69" t="s">
        <v>44</v>
      </c>
      <c r="K33" s="69" t="s">
        <v>44</v>
      </c>
      <c r="L33" s="69" t="s">
        <v>46</v>
      </c>
      <c r="M33" s="69" t="s">
        <v>44</v>
      </c>
      <c r="N33" s="69" t="s">
        <v>44</v>
      </c>
      <c r="O33" s="69" t="s">
        <v>46</v>
      </c>
      <c r="P33" s="69" t="s">
        <v>44</v>
      </c>
      <c r="Q33" s="69" t="s">
        <v>46</v>
      </c>
      <c r="R33" s="69" t="s">
        <v>44</v>
      </c>
      <c r="S33" s="69" t="s">
        <v>46</v>
      </c>
      <c r="T33" s="69" t="s">
        <v>44</v>
      </c>
      <c r="U33" s="70" t="s">
        <v>44</v>
      </c>
      <c r="V33" s="70" t="s">
        <v>44</v>
      </c>
      <c r="W33" s="70" t="s">
        <v>45</v>
      </c>
      <c r="X33" s="70" t="s">
        <v>45</v>
      </c>
      <c r="Y33" s="70" t="s">
        <v>44</v>
      </c>
      <c r="Z33" s="79" t="s">
        <v>45</v>
      </c>
      <c r="AA33" s="81">
        <f t="shared" si="5"/>
        <v>0</v>
      </c>
      <c r="AB33" s="90">
        <f t="shared" si="6"/>
        <v>1</v>
      </c>
      <c r="AC33" s="85" t="str">
        <f t="shared" si="4"/>
        <v>B</v>
      </c>
      <c r="AD33" s="54"/>
    </row>
    <row r="34" spans="1:30" ht="15.75" thickBot="1" x14ac:dyDescent="0.25">
      <c r="A34" s="103">
        <v>46193</v>
      </c>
      <c r="B34" s="22" t="s">
        <v>89</v>
      </c>
      <c r="C34" s="34" t="str">
        <f t="shared" si="0"/>
        <v>Alemanha</v>
      </c>
      <c r="D34" s="34" t="str">
        <f t="shared" si="1"/>
        <v>Costa do Marfim</v>
      </c>
      <c r="E34" s="46" t="s">
        <v>48</v>
      </c>
      <c r="F34" s="112"/>
      <c r="G34" s="60" t="s">
        <v>44</v>
      </c>
      <c r="H34" s="61" t="s">
        <v>44</v>
      </c>
      <c r="I34" s="61" t="s">
        <v>44</v>
      </c>
      <c r="J34" s="61" t="s">
        <v>44</v>
      </c>
      <c r="K34" s="61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2" t="s">
        <v>44</v>
      </c>
      <c r="V34" s="62" t="s">
        <v>46</v>
      </c>
      <c r="W34" s="62" t="s">
        <v>44</v>
      </c>
      <c r="X34" s="62" t="s">
        <v>44</v>
      </c>
      <c r="Y34" s="62" t="s">
        <v>44</v>
      </c>
      <c r="Z34" s="76" t="s">
        <v>46</v>
      </c>
      <c r="AA34" s="81">
        <f t="shared" si="5"/>
        <v>2</v>
      </c>
      <c r="AB34" s="90">
        <f t="shared" si="6"/>
        <v>1</v>
      </c>
      <c r="AC34" s="85" t="str">
        <f t="shared" si="4"/>
        <v>A</v>
      </c>
      <c r="AD34" s="54"/>
    </row>
    <row r="35" spans="1:30" ht="15.75" thickBot="1" x14ac:dyDescent="0.25">
      <c r="A35" s="104"/>
      <c r="B35" s="28" t="s">
        <v>90</v>
      </c>
      <c r="C35" s="40" t="str">
        <f t="shared" si="0"/>
        <v>Equador</v>
      </c>
      <c r="D35" s="40" t="str">
        <f t="shared" si="1"/>
        <v>Curaçao</v>
      </c>
      <c r="E35" s="50" t="s">
        <v>69</v>
      </c>
      <c r="F35" s="114"/>
      <c r="G35" s="63" t="s">
        <v>44</v>
      </c>
      <c r="H35" s="71" t="s">
        <v>44</v>
      </c>
      <c r="I35" s="71" t="s">
        <v>44</v>
      </c>
      <c r="J35" s="71" t="s">
        <v>44</v>
      </c>
      <c r="K35" s="71" t="s">
        <v>44</v>
      </c>
      <c r="L35" s="71" t="s">
        <v>44</v>
      </c>
      <c r="M35" s="71" t="s">
        <v>44</v>
      </c>
      <c r="N35" s="71" t="s">
        <v>44</v>
      </c>
      <c r="O35" s="71" t="s">
        <v>44</v>
      </c>
      <c r="P35" s="71" t="s">
        <v>44</v>
      </c>
      <c r="Q35" s="71" t="s">
        <v>44</v>
      </c>
      <c r="R35" s="71" t="s">
        <v>44</v>
      </c>
      <c r="S35" s="71" t="s">
        <v>44</v>
      </c>
      <c r="T35" s="71" t="s">
        <v>44</v>
      </c>
      <c r="U35" s="56" t="s">
        <v>44</v>
      </c>
      <c r="V35" s="56" t="s">
        <v>44</v>
      </c>
      <c r="W35" s="56" t="s">
        <v>44</v>
      </c>
      <c r="X35" s="56" t="s">
        <v>44</v>
      </c>
      <c r="Y35" s="56" t="s">
        <v>44</v>
      </c>
      <c r="Z35" s="80" t="s">
        <v>46</v>
      </c>
      <c r="AA35" s="81">
        <f t="shared" si="5"/>
        <v>0</v>
      </c>
      <c r="AB35" s="90">
        <f t="shared" si="6"/>
        <v>0</v>
      </c>
      <c r="AC35" s="85" t="str">
        <f t="shared" si="4"/>
        <v>E</v>
      </c>
      <c r="AD35" s="54"/>
    </row>
    <row r="36" spans="1:30" ht="15.75" thickBot="1" x14ac:dyDescent="0.25">
      <c r="A36" s="105"/>
      <c r="B36" s="29" t="s">
        <v>91</v>
      </c>
      <c r="C36" s="41" t="str">
        <f t="shared" si="0"/>
        <v>Países Baixos</v>
      </c>
      <c r="D36" s="41" t="str">
        <f t="shared" si="1"/>
        <v>Suécia</v>
      </c>
      <c r="E36" s="51" t="s">
        <v>65</v>
      </c>
      <c r="F36" s="115"/>
      <c r="G36" s="65" t="s">
        <v>44</v>
      </c>
      <c r="H36" s="66" t="s">
        <v>46</v>
      </c>
      <c r="I36" s="66" t="s">
        <v>45</v>
      </c>
      <c r="J36" s="66" t="s">
        <v>45</v>
      </c>
      <c r="K36" s="66" t="s">
        <v>44</v>
      </c>
      <c r="L36" s="66" t="s">
        <v>44</v>
      </c>
      <c r="M36" s="66" t="s">
        <v>44</v>
      </c>
      <c r="N36" s="66" t="s">
        <v>44</v>
      </c>
      <c r="O36" s="66" t="s">
        <v>44</v>
      </c>
      <c r="P36" s="66" t="s">
        <v>46</v>
      </c>
      <c r="Q36" s="66" t="s">
        <v>44</v>
      </c>
      <c r="R36" s="66" t="s">
        <v>44</v>
      </c>
      <c r="S36" s="66" t="s">
        <v>44</v>
      </c>
      <c r="T36" s="66" t="s">
        <v>44</v>
      </c>
      <c r="U36" s="67" t="s">
        <v>46</v>
      </c>
      <c r="V36" s="67" t="s">
        <v>44</v>
      </c>
      <c r="W36" s="67" t="s">
        <v>44</v>
      </c>
      <c r="X36" s="67" t="s">
        <v>44</v>
      </c>
      <c r="Y36" s="67" t="s">
        <v>44</v>
      </c>
      <c r="Z36" s="78" t="s">
        <v>46</v>
      </c>
      <c r="AA36" s="81">
        <f t="shared" si="5"/>
        <v>5</v>
      </c>
      <c r="AB36" s="90">
        <f t="shared" si="6"/>
        <v>1</v>
      </c>
      <c r="AC36" s="85" t="str">
        <f t="shared" si="4"/>
        <v>A</v>
      </c>
      <c r="AD36" s="54"/>
    </row>
    <row r="37" spans="1:30" ht="15.75" thickBot="1" x14ac:dyDescent="0.25">
      <c r="A37" s="106"/>
      <c r="B37" s="30" t="s">
        <v>92</v>
      </c>
      <c r="C37" s="42" t="str">
        <f t="shared" si="0"/>
        <v>Tunísia</v>
      </c>
      <c r="D37" s="42" t="str">
        <f t="shared" si="1"/>
        <v>Japão</v>
      </c>
      <c r="E37" s="52" t="s">
        <v>135</v>
      </c>
      <c r="F37" s="116"/>
      <c r="G37" s="68" t="s">
        <v>45</v>
      </c>
      <c r="H37" s="69" t="s">
        <v>45</v>
      </c>
      <c r="I37" s="69" t="s">
        <v>45</v>
      </c>
      <c r="J37" s="69" t="s">
        <v>45</v>
      </c>
      <c r="K37" s="69" t="s">
        <v>45</v>
      </c>
      <c r="L37" s="69" t="s">
        <v>45</v>
      </c>
      <c r="M37" s="69" t="s">
        <v>45</v>
      </c>
      <c r="N37" s="69" t="s">
        <v>45</v>
      </c>
      <c r="O37" s="69" t="s">
        <v>45</v>
      </c>
      <c r="P37" s="69" t="s">
        <v>45</v>
      </c>
      <c r="Q37" s="69" t="s">
        <v>46</v>
      </c>
      <c r="R37" s="69" t="s">
        <v>45</v>
      </c>
      <c r="S37" s="69" t="s">
        <v>45</v>
      </c>
      <c r="T37" s="69" t="s">
        <v>45</v>
      </c>
      <c r="U37" s="70" t="s">
        <v>45</v>
      </c>
      <c r="V37" s="70" t="s">
        <v>45</v>
      </c>
      <c r="W37" s="70" t="s">
        <v>45</v>
      </c>
      <c r="X37" s="70" t="s">
        <v>45</v>
      </c>
      <c r="Y37" s="70" t="s">
        <v>45</v>
      </c>
      <c r="Z37" s="79" t="s">
        <v>45</v>
      </c>
      <c r="AA37" s="81">
        <f t="shared" si="5"/>
        <v>0</v>
      </c>
      <c r="AB37" s="90">
        <f t="shared" si="6"/>
        <v>4</v>
      </c>
      <c r="AC37" s="85" t="str">
        <f t="shared" si="4"/>
        <v>B</v>
      </c>
      <c r="AD37" s="54"/>
    </row>
    <row r="38" spans="1:30" ht="15.75" thickBot="1" x14ac:dyDescent="0.25">
      <c r="A38" s="118">
        <v>46194</v>
      </c>
      <c r="B38" s="24" t="s">
        <v>93</v>
      </c>
      <c r="C38" s="36" t="str">
        <f t="shared" si="0"/>
        <v>Bélgica</v>
      </c>
      <c r="D38" s="36" t="str">
        <f t="shared" si="1"/>
        <v>Irã</v>
      </c>
      <c r="E38" s="44" t="s">
        <v>74</v>
      </c>
      <c r="F38" s="112"/>
      <c r="G38" s="60" t="s">
        <v>44</v>
      </c>
      <c r="H38" s="61" t="s">
        <v>44</v>
      </c>
      <c r="I38" s="61" t="s">
        <v>44</v>
      </c>
      <c r="J38" s="61" t="s">
        <v>44</v>
      </c>
      <c r="K38" s="61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/>
      <c r="S38" s="61" t="s">
        <v>46</v>
      </c>
      <c r="T38" s="61" t="s">
        <v>44</v>
      </c>
      <c r="U38" s="62" t="s">
        <v>44</v>
      </c>
      <c r="V38" s="56" t="s">
        <v>46</v>
      </c>
      <c r="W38" s="62" t="s">
        <v>46</v>
      </c>
      <c r="X38" s="62" t="s">
        <v>44</v>
      </c>
      <c r="Y38" s="62" t="s">
        <v>44</v>
      </c>
      <c r="Z38" s="76" t="s">
        <v>46</v>
      </c>
      <c r="AA38" s="81" t="str">
        <f t="shared" si="5"/>
        <v/>
      </c>
      <c r="AB38" s="90" t="str">
        <f t="shared" si="6"/>
        <v/>
      </c>
      <c r="AC38" s="85" t="str">
        <f t="shared" si="4"/>
        <v/>
      </c>
      <c r="AD38" s="54"/>
    </row>
    <row r="39" spans="1:30" ht="15.75" thickBot="1" x14ac:dyDescent="0.25">
      <c r="A39" s="119"/>
      <c r="B39" s="25" t="s">
        <v>94</v>
      </c>
      <c r="C39" s="37" t="str">
        <f t="shared" si="0"/>
        <v>Nova Zelândia</v>
      </c>
      <c r="D39" s="37" t="str">
        <f t="shared" si="1"/>
        <v>Egito</v>
      </c>
      <c r="E39" s="47" t="s">
        <v>74</v>
      </c>
      <c r="F39" s="114"/>
      <c r="G39" s="63" t="s">
        <v>46</v>
      </c>
      <c r="H39" s="71" t="s">
        <v>44</v>
      </c>
      <c r="I39" s="71" t="s">
        <v>45</v>
      </c>
      <c r="J39" s="71" t="s">
        <v>46</v>
      </c>
      <c r="K39" s="71" t="s">
        <v>46</v>
      </c>
      <c r="L39" s="71" t="s">
        <v>46</v>
      </c>
      <c r="M39" s="71" t="s">
        <v>45</v>
      </c>
      <c r="N39" s="71" t="s">
        <v>45</v>
      </c>
      <c r="O39" s="71" t="s">
        <v>45</v>
      </c>
      <c r="P39" s="71" t="s">
        <v>45</v>
      </c>
      <c r="Q39" s="71" t="s">
        <v>44</v>
      </c>
      <c r="R39" s="71"/>
      <c r="S39" s="71" t="s">
        <v>46</v>
      </c>
      <c r="T39" s="71" t="s">
        <v>45</v>
      </c>
      <c r="U39" s="56" t="s">
        <v>45</v>
      </c>
      <c r="V39" s="59" t="s">
        <v>45</v>
      </c>
      <c r="W39" s="56" t="s">
        <v>46</v>
      </c>
      <c r="X39" s="56" t="s">
        <v>45</v>
      </c>
      <c r="Y39" s="56" t="s">
        <v>44</v>
      </c>
      <c r="Z39" s="80" t="s">
        <v>45</v>
      </c>
      <c r="AA39" s="81" t="str">
        <f t="shared" si="5"/>
        <v/>
      </c>
      <c r="AB39" s="90" t="str">
        <f t="shared" si="6"/>
        <v/>
      </c>
      <c r="AC39" s="85" t="str">
        <f t="shared" si="4"/>
        <v/>
      </c>
      <c r="AD39" s="54"/>
    </row>
    <row r="40" spans="1:30" ht="15.75" thickBot="1" x14ac:dyDescent="0.25">
      <c r="A40" s="120"/>
      <c r="B40" s="26" t="s">
        <v>95</v>
      </c>
      <c r="C40" s="38" t="str">
        <f t="shared" si="0"/>
        <v>Espanha</v>
      </c>
      <c r="D40" s="38" t="str">
        <f t="shared" si="1"/>
        <v>Arábia Saudita</v>
      </c>
      <c r="E40" s="48" t="s">
        <v>136</v>
      </c>
      <c r="F40" s="115"/>
      <c r="G40" s="65" t="s">
        <v>44</v>
      </c>
      <c r="H40" s="66" t="s">
        <v>44</v>
      </c>
      <c r="I40" s="66" t="s">
        <v>44</v>
      </c>
      <c r="J40" s="66" t="s">
        <v>44</v>
      </c>
      <c r="K40" s="66" t="s">
        <v>44</v>
      </c>
      <c r="L40" s="66" t="s">
        <v>44</v>
      </c>
      <c r="M40" s="66" t="s">
        <v>44</v>
      </c>
      <c r="N40" s="66" t="s">
        <v>44</v>
      </c>
      <c r="O40" s="66" t="s">
        <v>44</v>
      </c>
      <c r="P40" s="66" t="s">
        <v>44</v>
      </c>
      <c r="Q40" s="66" t="s">
        <v>44</v>
      </c>
      <c r="R40" s="66"/>
      <c r="S40" s="66" t="s">
        <v>44</v>
      </c>
      <c r="T40" s="66" t="s">
        <v>44</v>
      </c>
      <c r="U40" s="67" t="s">
        <v>44</v>
      </c>
      <c r="V40" s="67" t="s">
        <v>44</v>
      </c>
      <c r="W40" s="67" t="s">
        <v>44</v>
      </c>
      <c r="X40" s="67" t="s">
        <v>44</v>
      </c>
      <c r="Y40" s="67" t="s">
        <v>44</v>
      </c>
      <c r="Z40" s="78" t="s">
        <v>44</v>
      </c>
      <c r="AA40" s="81">
        <f t="shared" si="5"/>
        <v>4</v>
      </c>
      <c r="AB40" s="90">
        <f t="shared" si="6"/>
        <v>0</v>
      </c>
      <c r="AC40" s="85" t="str">
        <f t="shared" si="4"/>
        <v>A</v>
      </c>
      <c r="AD40" s="54"/>
    </row>
    <row r="41" spans="1:30" ht="15.75" thickBot="1" x14ac:dyDescent="0.25">
      <c r="A41" s="121"/>
      <c r="B41" s="27" t="s">
        <v>96</v>
      </c>
      <c r="C41" s="39" t="str">
        <f t="shared" si="0"/>
        <v>Uruguai</v>
      </c>
      <c r="D41" s="39" t="str">
        <f t="shared" si="1"/>
        <v>Cabo Verde</v>
      </c>
      <c r="E41" s="49" t="s">
        <v>74</v>
      </c>
      <c r="F41" s="116"/>
      <c r="G41" s="68" t="s">
        <v>44</v>
      </c>
      <c r="H41" s="69" t="s">
        <v>44</v>
      </c>
      <c r="I41" s="69" t="s">
        <v>44</v>
      </c>
      <c r="J41" s="69" t="s">
        <v>44</v>
      </c>
      <c r="K41" s="69" t="s">
        <v>44</v>
      </c>
      <c r="L41" s="69" t="s">
        <v>44</v>
      </c>
      <c r="M41" s="69" t="s">
        <v>44</v>
      </c>
      <c r="N41" s="69" t="s">
        <v>44</v>
      </c>
      <c r="O41" s="69" t="s">
        <v>44</v>
      </c>
      <c r="P41" s="69" t="s">
        <v>44</v>
      </c>
      <c r="Q41" s="69" t="s">
        <v>46</v>
      </c>
      <c r="R41" s="69"/>
      <c r="S41" s="69" t="s">
        <v>44</v>
      </c>
      <c r="T41" s="69" t="s">
        <v>44</v>
      </c>
      <c r="U41" s="70" t="s">
        <v>44</v>
      </c>
      <c r="V41" s="70" t="s">
        <v>44</v>
      </c>
      <c r="W41" s="70" t="s">
        <v>44</v>
      </c>
      <c r="X41" s="70" t="s">
        <v>44</v>
      </c>
      <c r="Y41" s="70" t="s">
        <v>44</v>
      </c>
      <c r="Z41" s="79" t="s">
        <v>46</v>
      </c>
      <c r="AA41" s="81" t="str">
        <f t="shared" si="5"/>
        <v/>
      </c>
      <c r="AB41" s="90" t="str">
        <f t="shared" si="6"/>
        <v/>
      </c>
      <c r="AC41" s="85" t="str">
        <f t="shared" si="4"/>
        <v/>
      </c>
      <c r="AD41" s="54"/>
    </row>
    <row r="42" spans="1:30" ht="15.75" thickBot="1" x14ac:dyDescent="0.25">
      <c r="A42" s="103">
        <v>46195</v>
      </c>
      <c r="B42" s="22" t="s">
        <v>97</v>
      </c>
      <c r="C42" s="34" t="str">
        <f t="shared" si="0"/>
        <v>França</v>
      </c>
      <c r="D42" s="34" t="str">
        <f t="shared" si="1"/>
        <v>Iraque</v>
      </c>
      <c r="E42" s="46" t="s">
        <v>74</v>
      </c>
      <c r="F42" s="112"/>
      <c r="G42" s="60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2"/>
      <c r="V42" s="62"/>
      <c r="W42" s="62"/>
      <c r="X42" s="62"/>
      <c r="Y42" s="62"/>
      <c r="Z42" s="76"/>
      <c r="AA42" s="81" t="str">
        <f t="shared" si="5"/>
        <v/>
      </c>
      <c r="AB42" s="90" t="str">
        <f t="shared" si="6"/>
        <v/>
      </c>
      <c r="AC42" s="85" t="str">
        <f t="shared" si="4"/>
        <v/>
      </c>
      <c r="AD42" s="54"/>
    </row>
    <row r="43" spans="1:30" ht="15.75" thickBot="1" x14ac:dyDescent="0.25">
      <c r="A43" s="104"/>
      <c r="B43" s="28" t="s">
        <v>98</v>
      </c>
      <c r="C43" s="40" t="str">
        <f t="shared" si="0"/>
        <v>Noruega</v>
      </c>
      <c r="D43" s="40" t="str">
        <f t="shared" si="1"/>
        <v>Senegal</v>
      </c>
      <c r="E43" s="50" t="s">
        <v>74</v>
      </c>
      <c r="F43" s="114"/>
      <c r="G43" s="63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56"/>
      <c r="V43" s="56"/>
      <c r="W43" s="56"/>
      <c r="X43" s="56"/>
      <c r="Y43" s="56"/>
      <c r="Z43" s="80"/>
      <c r="AA43" s="81" t="str">
        <f t="shared" si="5"/>
        <v/>
      </c>
      <c r="AB43" s="90" t="str">
        <f t="shared" si="6"/>
        <v/>
      </c>
      <c r="AC43" s="85" t="str">
        <f t="shared" si="4"/>
        <v/>
      </c>
      <c r="AD43" s="54"/>
    </row>
    <row r="44" spans="1:30" ht="15.75" thickBot="1" x14ac:dyDescent="0.25">
      <c r="A44" s="105"/>
      <c r="B44" s="29" t="s">
        <v>99</v>
      </c>
      <c r="C44" s="41" t="str">
        <f t="shared" si="0"/>
        <v>Argentina</v>
      </c>
      <c r="D44" s="41" t="str">
        <f t="shared" si="1"/>
        <v>Áustria</v>
      </c>
      <c r="E44" s="51" t="s">
        <v>74</v>
      </c>
      <c r="F44" s="115"/>
      <c r="G44" s="65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7"/>
      <c r="V44" s="67"/>
      <c r="W44" s="67"/>
      <c r="X44" s="67"/>
      <c r="Y44" s="67"/>
      <c r="Z44" s="78"/>
      <c r="AA44" s="81" t="str">
        <f t="shared" si="5"/>
        <v/>
      </c>
      <c r="AB44" s="90" t="str">
        <f t="shared" si="6"/>
        <v/>
      </c>
      <c r="AC44" s="85" t="str">
        <f t="shared" si="4"/>
        <v/>
      </c>
      <c r="AD44" s="54"/>
    </row>
    <row r="45" spans="1:30" ht="15.75" thickBot="1" x14ac:dyDescent="0.25">
      <c r="A45" s="106"/>
      <c r="B45" s="30" t="s">
        <v>100</v>
      </c>
      <c r="C45" s="42" t="str">
        <f t="shared" si="0"/>
        <v>Jordânia</v>
      </c>
      <c r="D45" s="42" t="str">
        <f t="shared" si="1"/>
        <v>Argélia</v>
      </c>
      <c r="E45" s="52" t="s">
        <v>74</v>
      </c>
      <c r="F45" s="116"/>
      <c r="G45" s="68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70"/>
      <c r="V45" s="70"/>
      <c r="W45" s="70"/>
      <c r="X45" s="70"/>
      <c r="Y45" s="70"/>
      <c r="Z45" s="79"/>
      <c r="AA45" s="81" t="str">
        <f t="shared" si="5"/>
        <v/>
      </c>
      <c r="AB45" s="90" t="str">
        <f t="shared" si="6"/>
        <v/>
      </c>
      <c r="AC45" s="85" t="str">
        <f t="shared" si="4"/>
        <v/>
      </c>
      <c r="AD45" s="54"/>
    </row>
    <row r="46" spans="1:30" ht="15.75" thickBot="1" x14ac:dyDescent="0.25">
      <c r="A46" s="118">
        <v>46196</v>
      </c>
      <c r="B46" s="24" t="s">
        <v>101</v>
      </c>
      <c r="C46" s="36" t="str">
        <f t="shared" si="0"/>
        <v>Portugal</v>
      </c>
      <c r="D46" s="36" t="str">
        <f t="shared" si="1"/>
        <v>Uzbequistão</v>
      </c>
      <c r="E46" s="44" t="s">
        <v>74</v>
      </c>
      <c r="F46" s="112"/>
      <c r="G46" s="60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2"/>
      <c r="V46" s="62"/>
      <c r="W46" s="62"/>
      <c r="X46" s="62"/>
      <c r="Y46" s="62"/>
      <c r="Z46" s="76"/>
      <c r="AA46" s="81" t="str">
        <f t="shared" si="5"/>
        <v/>
      </c>
      <c r="AB46" s="90" t="str">
        <f t="shared" si="6"/>
        <v/>
      </c>
      <c r="AC46" s="85" t="str">
        <f t="shared" si="4"/>
        <v/>
      </c>
      <c r="AD46" s="54"/>
    </row>
    <row r="47" spans="1:30" ht="15.75" thickBot="1" x14ac:dyDescent="0.25">
      <c r="A47" s="119"/>
      <c r="B47" s="25" t="s">
        <v>102</v>
      </c>
      <c r="C47" s="37" t="str">
        <f t="shared" si="0"/>
        <v>Colômbia</v>
      </c>
      <c r="D47" s="37" t="str">
        <f t="shared" si="1"/>
        <v>Rep. Dem. Congo</v>
      </c>
      <c r="E47" s="47" t="s">
        <v>74</v>
      </c>
      <c r="F47" s="114"/>
      <c r="G47" s="63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56"/>
      <c r="V47" s="56"/>
      <c r="W47" s="56"/>
      <c r="X47" s="56"/>
      <c r="Y47" s="56"/>
      <c r="Z47" s="80"/>
      <c r="AA47" s="81" t="str">
        <f t="shared" si="5"/>
        <v/>
      </c>
      <c r="AB47" s="90" t="str">
        <f t="shared" si="6"/>
        <v/>
      </c>
      <c r="AC47" s="85" t="str">
        <f t="shared" si="4"/>
        <v/>
      </c>
      <c r="AD47" s="54"/>
    </row>
    <row r="48" spans="1:30" ht="15.75" thickBot="1" x14ac:dyDescent="0.25">
      <c r="A48" s="120"/>
      <c r="B48" s="26" t="s">
        <v>103</v>
      </c>
      <c r="C48" s="38" t="str">
        <f t="shared" si="0"/>
        <v>Inglaterra</v>
      </c>
      <c r="D48" s="38" t="str">
        <f t="shared" si="1"/>
        <v>Gana</v>
      </c>
      <c r="E48" s="48" t="s">
        <v>74</v>
      </c>
      <c r="F48" s="115"/>
      <c r="G48" s="65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7"/>
      <c r="V48" s="67"/>
      <c r="W48" s="67"/>
      <c r="X48" s="67"/>
      <c r="Y48" s="67"/>
      <c r="Z48" s="78"/>
      <c r="AA48" s="81" t="str">
        <f t="shared" si="5"/>
        <v/>
      </c>
      <c r="AB48" s="90" t="str">
        <f t="shared" si="6"/>
        <v/>
      </c>
      <c r="AC48" s="85" t="str">
        <f t="shared" si="4"/>
        <v/>
      </c>
      <c r="AD48" s="54"/>
    </row>
    <row r="49" spans="1:30" ht="15.75" thickBot="1" x14ac:dyDescent="0.25">
      <c r="A49" s="121"/>
      <c r="B49" s="27" t="s">
        <v>104</v>
      </c>
      <c r="C49" s="39" t="str">
        <f t="shared" si="0"/>
        <v>Panamá</v>
      </c>
      <c r="D49" s="39" t="str">
        <f t="shared" si="1"/>
        <v>Croácia</v>
      </c>
      <c r="E49" s="49" t="s">
        <v>74</v>
      </c>
      <c r="F49" s="116"/>
      <c r="G49" s="68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70"/>
      <c r="V49" s="70"/>
      <c r="W49" s="70"/>
      <c r="X49" s="70"/>
      <c r="Y49" s="70"/>
      <c r="Z49" s="79"/>
      <c r="AA49" s="81" t="str">
        <f t="shared" si="5"/>
        <v/>
      </c>
      <c r="AB49" s="90" t="str">
        <f t="shared" si="6"/>
        <v/>
      </c>
      <c r="AC49" s="85" t="str">
        <f t="shared" si="4"/>
        <v/>
      </c>
      <c r="AD49" s="54"/>
    </row>
    <row r="50" spans="1:30" ht="15.75" thickBot="1" x14ac:dyDescent="0.25">
      <c r="A50" s="103">
        <v>46197</v>
      </c>
      <c r="B50" s="22" t="s">
        <v>105</v>
      </c>
      <c r="C50" s="34" t="str">
        <f t="shared" si="0"/>
        <v>África do Sul</v>
      </c>
      <c r="D50" s="34" t="str">
        <f t="shared" si="1"/>
        <v>Coreia do Sul</v>
      </c>
      <c r="E50" s="46" t="s">
        <v>74</v>
      </c>
      <c r="F50" s="112"/>
      <c r="G50" s="60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2"/>
      <c r="V50" s="62"/>
      <c r="W50" s="62"/>
      <c r="X50" s="62"/>
      <c r="Y50" s="62"/>
      <c r="Z50" s="76"/>
      <c r="AA50" s="81" t="str">
        <f t="shared" si="5"/>
        <v/>
      </c>
      <c r="AB50" s="90" t="str">
        <f t="shared" si="6"/>
        <v/>
      </c>
      <c r="AC50" s="85" t="str">
        <f t="shared" si="4"/>
        <v/>
      </c>
      <c r="AD50" s="54"/>
    </row>
    <row r="51" spans="1:30" ht="15.75" thickBot="1" x14ac:dyDescent="0.25">
      <c r="A51" s="104"/>
      <c r="B51" s="28" t="s">
        <v>106</v>
      </c>
      <c r="C51" s="40" t="str">
        <f t="shared" si="0"/>
        <v>Tchéquia</v>
      </c>
      <c r="D51" s="40" t="str">
        <f t="shared" si="1"/>
        <v>México</v>
      </c>
      <c r="E51" s="50" t="s">
        <v>74</v>
      </c>
      <c r="F51" s="114"/>
      <c r="G51" s="63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56"/>
      <c r="V51" s="56"/>
      <c r="W51" s="56"/>
      <c r="X51" s="56"/>
      <c r="Y51" s="56"/>
      <c r="Z51" s="80"/>
      <c r="AA51" s="81" t="str">
        <f t="shared" si="5"/>
        <v/>
      </c>
      <c r="AB51" s="90" t="str">
        <f t="shared" si="6"/>
        <v/>
      </c>
      <c r="AC51" s="85" t="str">
        <f t="shared" si="4"/>
        <v/>
      </c>
      <c r="AD51" s="54"/>
    </row>
    <row r="52" spans="1:30" ht="15.75" thickBot="1" x14ac:dyDescent="0.25">
      <c r="A52" s="105"/>
      <c r="B52" s="29" t="s">
        <v>107</v>
      </c>
      <c r="C52" s="41" t="str">
        <f t="shared" si="0"/>
        <v>Suíça</v>
      </c>
      <c r="D52" s="41" t="str">
        <f t="shared" si="1"/>
        <v>Canadá</v>
      </c>
      <c r="E52" s="51" t="s">
        <v>74</v>
      </c>
      <c r="F52" s="115"/>
      <c r="G52" s="65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7"/>
      <c r="V52" s="67"/>
      <c r="W52" s="67"/>
      <c r="X52" s="67"/>
      <c r="Y52" s="67"/>
      <c r="Z52" s="78"/>
      <c r="AA52" s="81" t="str">
        <f t="shared" si="5"/>
        <v/>
      </c>
      <c r="AB52" s="90" t="str">
        <f t="shared" si="6"/>
        <v/>
      </c>
      <c r="AC52" s="85" t="str">
        <f t="shared" si="4"/>
        <v/>
      </c>
      <c r="AD52" s="54"/>
    </row>
    <row r="53" spans="1:30" ht="15.75" thickBot="1" x14ac:dyDescent="0.25">
      <c r="A53" s="105"/>
      <c r="B53" s="29" t="s">
        <v>108</v>
      </c>
      <c r="C53" s="41" t="str">
        <f t="shared" si="0"/>
        <v>Bósnia e Herzeg.</v>
      </c>
      <c r="D53" s="41" t="str">
        <f t="shared" si="1"/>
        <v>Catar</v>
      </c>
      <c r="E53" s="51" t="s">
        <v>74</v>
      </c>
      <c r="F53" s="115"/>
      <c r="G53" s="65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7"/>
      <c r="V53" s="67"/>
      <c r="W53" s="67"/>
      <c r="Y53" s="67"/>
      <c r="Z53" s="78"/>
      <c r="AA53" s="81" t="str">
        <f t="shared" si="5"/>
        <v/>
      </c>
      <c r="AB53" s="90" t="str">
        <f t="shared" si="6"/>
        <v/>
      </c>
      <c r="AC53" s="85" t="str">
        <f t="shared" si="4"/>
        <v/>
      </c>
      <c r="AD53" s="54"/>
    </row>
    <row r="54" spans="1:30" ht="15.75" thickBot="1" x14ac:dyDescent="0.25">
      <c r="A54" s="105"/>
      <c r="B54" s="29" t="s">
        <v>109</v>
      </c>
      <c r="C54" s="41" t="str">
        <f t="shared" si="0"/>
        <v>Marrocos</v>
      </c>
      <c r="D54" s="41" t="str">
        <f t="shared" si="1"/>
        <v>Haiti</v>
      </c>
      <c r="E54" s="51" t="s">
        <v>74</v>
      </c>
      <c r="F54" s="115"/>
      <c r="G54" s="65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7"/>
      <c r="V54" s="67"/>
      <c r="W54" s="67"/>
      <c r="X54" s="67"/>
      <c r="Y54" s="67"/>
      <c r="Z54" s="78"/>
      <c r="AA54" s="81" t="str">
        <f t="shared" si="5"/>
        <v/>
      </c>
      <c r="AB54" s="90" t="str">
        <f t="shared" si="6"/>
        <v/>
      </c>
      <c r="AC54" s="85" t="str">
        <f t="shared" si="4"/>
        <v/>
      </c>
      <c r="AD54" s="54"/>
    </row>
    <row r="55" spans="1:30" ht="15.75" thickBot="1" x14ac:dyDescent="0.25">
      <c r="A55" s="106"/>
      <c r="B55" s="30" t="s">
        <v>110</v>
      </c>
      <c r="C55" s="42" t="str">
        <f t="shared" si="0"/>
        <v>Escócia</v>
      </c>
      <c r="D55" s="42" t="str">
        <f t="shared" si="1"/>
        <v>Brasil</v>
      </c>
      <c r="E55" s="52" t="s">
        <v>74</v>
      </c>
      <c r="F55" s="116"/>
      <c r="G55" s="68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70"/>
      <c r="V55" s="70"/>
      <c r="W55" s="70"/>
      <c r="X55" s="70"/>
      <c r="Y55" s="70"/>
      <c r="Z55" s="79"/>
      <c r="AA55" s="81" t="str">
        <f t="shared" si="5"/>
        <v/>
      </c>
      <c r="AB55" s="90" t="str">
        <f t="shared" si="6"/>
        <v/>
      </c>
      <c r="AC55" s="85" t="str">
        <f t="shared" si="4"/>
        <v/>
      </c>
      <c r="AD55" s="54"/>
    </row>
    <row r="56" spans="1:30" ht="15.75" thickBot="1" x14ac:dyDescent="0.25">
      <c r="A56" s="118">
        <v>46198</v>
      </c>
      <c r="B56" s="24" t="s">
        <v>111</v>
      </c>
      <c r="C56" s="36" t="str">
        <f t="shared" si="0"/>
        <v>Turquia</v>
      </c>
      <c r="D56" s="36" t="str">
        <f t="shared" si="1"/>
        <v>Estados Unidos</v>
      </c>
      <c r="E56" s="44" t="s">
        <v>74</v>
      </c>
      <c r="F56" s="112"/>
      <c r="G56" s="60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2"/>
      <c r="V56" s="62"/>
      <c r="W56" s="62"/>
      <c r="X56" s="62"/>
      <c r="Y56" s="62"/>
      <c r="Z56" s="76"/>
      <c r="AA56" s="81" t="str">
        <f t="shared" si="5"/>
        <v/>
      </c>
      <c r="AB56" s="90" t="str">
        <f t="shared" si="6"/>
        <v/>
      </c>
      <c r="AC56" s="85" t="str">
        <f t="shared" si="4"/>
        <v/>
      </c>
      <c r="AD56" s="54"/>
    </row>
    <row r="57" spans="1:30" ht="15.75" thickBot="1" x14ac:dyDescent="0.25">
      <c r="A57" s="119"/>
      <c r="B57" s="25" t="s">
        <v>112</v>
      </c>
      <c r="C57" s="37" t="str">
        <f t="shared" si="0"/>
        <v>Paraguai</v>
      </c>
      <c r="D57" s="37" t="str">
        <f t="shared" si="1"/>
        <v>Austrália</v>
      </c>
      <c r="E57" s="47" t="s">
        <v>74</v>
      </c>
      <c r="F57" s="114"/>
      <c r="G57" s="63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56"/>
      <c r="V57" s="56"/>
      <c r="W57" s="56"/>
      <c r="X57" s="56"/>
      <c r="Y57" s="56"/>
      <c r="Z57" s="80"/>
      <c r="AA57" s="81" t="str">
        <f t="shared" si="5"/>
        <v/>
      </c>
      <c r="AB57" s="90" t="str">
        <f t="shared" si="6"/>
        <v/>
      </c>
      <c r="AC57" s="85" t="str">
        <f t="shared" si="4"/>
        <v/>
      </c>
      <c r="AD57" s="54"/>
    </row>
    <row r="58" spans="1:30" ht="15.75" thickBot="1" x14ac:dyDescent="0.25">
      <c r="A58" s="120"/>
      <c r="B58" s="26" t="s">
        <v>113</v>
      </c>
      <c r="C58" s="38" t="str">
        <f t="shared" si="0"/>
        <v>Curaçao</v>
      </c>
      <c r="D58" s="38" t="str">
        <f t="shared" si="1"/>
        <v>Costa do Marfim</v>
      </c>
      <c r="E58" s="48" t="s">
        <v>74</v>
      </c>
      <c r="F58" s="115"/>
      <c r="G58" s="65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7"/>
      <c r="V58" s="67"/>
      <c r="W58" s="67"/>
      <c r="X58" s="67"/>
      <c r="Y58" s="67"/>
      <c r="Z58" s="78"/>
      <c r="AA58" s="81" t="str">
        <f t="shared" si="5"/>
        <v/>
      </c>
      <c r="AB58" s="90" t="str">
        <f t="shared" si="6"/>
        <v/>
      </c>
      <c r="AC58" s="85" t="str">
        <f t="shared" si="4"/>
        <v/>
      </c>
      <c r="AD58" s="54"/>
    </row>
    <row r="59" spans="1:30" ht="15.75" thickBot="1" x14ac:dyDescent="0.25">
      <c r="A59" s="120"/>
      <c r="B59" s="26" t="s">
        <v>114</v>
      </c>
      <c r="C59" s="38" t="str">
        <f t="shared" si="0"/>
        <v>Equador</v>
      </c>
      <c r="D59" s="38" t="str">
        <f t="shared" si="1"/>
        <v>Alemanha</v>
      </c>
      <c r="E59" s="48" t="s">
        <v>74</v>
      </c>
      <c r="F59" s="115"/>
      <c r="G59" s="65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7"/>
      <c r="V59" s="67"/>
      <c r="W59" s="67"/>
      <c r="X59" s="67"/>
      <c r="Y59" s="67"/>
      <c r="Z59" s="78"/>
      <c r="AA59" s="81" t="str">
        <f t="shared" si="5"/>
        <v/>
      </c>
      <c r="AB59" s="90" t="str">
        <f t="shared" si="6"/>
        <v/>
      </c>
      <c r="AC59" s="85" t="str">
        <f t="shared" si="4"/>
        <v/>
      </c>
      <c r="AD59" s="54"/>
    </row>
    <row r="60" spans="1:30" ht="15.75" thickBot="1" x14ac:dyDescent="0.25">
      <c r="A60" s="120"/>
      <c r="B60" s="26" t="s">
        <v>115</v>
      </c>
      <c r="C60" s="38" t="str">
        <f t="shared" si="0"/>
        <v>Tunísia</v>
      </c>
      <c r="D60" s="38" t="str">
        <f t="shared" si="1"/>
        <v>Países Baixos</v>
      </c>
      <c r="E60" s="48" t="s">
        <v>74</v>
      </c>
      <c r="F60" s="115"/>
      <c r="G60" s="65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7"/>
      <c r="V60" s="67"/>
      <c r="W60" s="67"/>
      <c r="X60" s="67"/>
      <c r="Y60" s="67"/>
      <c r="Z60" s="78"/>
      <c r="AA60" s="81" t="str">
        <f t="shared" si="5"/>
        <v/>
      </c>
      <c r="AB60" s="90" t="str">
        <f t="shared" si="6"/>
        <v/>
      </c>
      <c r="AC60" s="85" t="str">
        <f t="shared" si="4"/>
        <v/>
      </c>
      <c r="AD60" s="54"/>
    </row>
    <row r="61" spans="1:30" ht="15.75" thickBot="1" x14ac:dyDescent="0.25">
      <c r="A61" s="121"/>
      <c r="B61" s="27" t="s">
        <v>116</v>
      </c>
      <c r="C61" s="39" t="str">
        <f t="shared" si="0"/>
        <v>Japão</v>
      </c>
      <c r="D61" s="39" t="str">
        <f t="shared" si="1"/>
        <v>Suécia</v>
      </c>
      <c r="E61" s="49" t="s">
        <v>74</v>
      </c>
      <c r="F61" s="116"/>
      <c r="G61" s="68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70"/>
      <c r="V61" s="70"/>
      <c r="W61" s="70"/>
      <c r="X61" s="70"/>
      <c r="Y61" s="70"/>
      <c r="Z61" s="79"/>
      <c r="AA61" s="81" t="str">
        <f t="shared" si="5"/>
        <v/>
      </c>
      <c r="AB61" s="90" t="str">
        <f t="shared" si="6"/>
        <v/>
      </c>
      <c r="AC61" s="85" t="str">
        <f t="shared" si="4"/>
        <v/>
      </c>
      <c r="AD61" s="54"/>
    </row>
    <row r="62" spans="1:30" ht="15.75" thickBot="1" x14ac:dyDescent="0.25">
      <c r="A62" s="103">
        <v>46199</v>
      </c>
      <c r="B62" s="22" t="s">
        <v>117</v>
      </c>
      <c r="C62" s="34" t="str">
        <f t="shared" si="0"/>
        <v>Nova Zelândia</v>
      </c>
      <c r="D62" s="34" t="str">
        <f t="shared" si="1"/>
        <v>Bélgica</v>
      </c>
      <c r="E62" s="46" t="s">
        <v>74</v>
      </c>
      <c r="F62" s="112"/>
      <c r="G62" s="60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2"/>
      <c r="V62" s="62"/>
      <c r="W62" s="62"/>
      <c r="X62" s="62"/>
      <c r="Y62" s="62"/>
      <c r="Z62" s="76"/>
      <c r="AA62" s="81" t="str">
        <f t="shared" si="5"/>
        <v/>
      </c>
      <c r="AB62" s="90" t="str">
        <f t="shared" si="6"/>
        <v/>
      </c>
      <c r="AC62" s="85" t="str">
        <f t="shared" si="4"/>
        <v/>
      </c>
      <c r="AD62" s="54"/>
    </row>
    <row r="63" spans="1:30" ht="15.75" thickBot="1" x14ac:dyDescent="0.25">
      <c r="A63" s="104"/>
      <c r="B63" s="28" t="s">
        <v>118</v>
      </c>
      <c r="C63" s="40" t="str">
        <f t="shared" si="0"/>
        <v>Egito</v>
      </c>
      <c r="D63" s="40" t="str">
        <f t="shared" si="1"/>
        <v>Irã</v>
      </c>
      <c r="E63" s="50" t="s">
        <v>74</v>
      </c>
      <c r="F63" s="114"/>
      <c r="G63" s="63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56"/>
      <c r="V63" s="56"/>
      <c r="W63" s="56"/>
      <c r="X63" s="56"/>
      <c r="Y63" s="56"/>
      <c r="Z63" s="80"/>
      <c r="AA63" s="81" t="str">
        <f t="shared" si="5"/>
        <v/>
      </c>
      <c r="AB63" s="90" t="str">
        <f t="shared" si="6"/>
        <v/>
      </c>
      <c r="AC63" s="85" t="str">
        <f t="shared" si="4"/>
        <v/>
      </c>
      <c r="AD63" s="54"/>
    </row>
    <row r="64" spans="1:30" ht="15.75" thickBot="1" x14ac:dyDescent="0.25">
      <c r="A64" s="105"/>
      <c r="B64" s="29" t="s">
        <v>119</v>
      </c>
      <c r="C64" s="41" t="str">
        <f t="shared" si="0"/>
        <v>Cabo Verde</v>
      </c>
      <c r="D64" s="41" t="str">
        <f t="shared" si="1"/>
        <v>Arábia Saudita</v>
      </c>
      <c r="E64" s="51" t="s">
        <v>74</v>
      </c>
      <c r="F64" s="115"/>
      <c r="G64" s="65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7"/>
      <c r="V64" s="67"/>
      <c r="W64" s="67"/>
      <c r="X64" s="67"/>
      <c r="Y64" s="67"/>
      <c r="Z64" s="78"/>
      <c r="AA64" s="81" t="str">
        <f t="shared" si="5"/>
        <v/>
      </c>
      <c r="AB64" s="90" t="str">
        <f t="shared" si="6"/>
        <v/>
      </c>
      <c r="AC64" s="85" t="str">
        <f t="shared" si="4"/>
        <v/>
      </c>
      <c r="AD64" s="54"/>
    </row>
    <row r="65" spans="1:30" ht="15.75" thickBot="1" x14ac:dyDescent="0.25">
      <c r="A65" s="105"/>
      <c r="B65" s="29" t="s">
        <v>120</v>
      </c>
      <c r="C65" s="41" t="str">
        <f t="shared" si="0"/>
        <v>Uruguai</v>
      </c>
      <c r="D65" s="41" t="str">
        <f t="shared" si="1"/>
        <v>Espanha</v>
      </c>
      <c r="E65" s="51" t="s">
        <v>74</v>
      </c>
      <c r="F65" s="115"/>
      <c r="G65" s="65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7"/>
      <c r="V65" s="67"/>
      <c r="W65" s="67"/>
      <c r="X65" s="67"/>
      <c r="Y65" s="67"/>
      <c r="Z65" s="78"/>
      <c r="AA65" s="81" t="str">
        <f t="shared" si="5"/>
        <v/>
      </c>
      <c r="AB65" s="90" t="str">
        <f t="shared" si="6"/>
        <v/>
      </c>
      <c r="AC65" s="85" t="str">
        <f t="shared" si="4"/>
        <v/>
      </c>
      <c r="AD65" s="54"/>
    </row>
    <row r="66" spans="1:30" ht="15.75" thickBot="1" x14ac:dyDescent="0.25">
      <c r="A66" s="105"/>
      <c r="B66" s="29" t="s">
        <v>121</v>
      </c>
      <c r="C66" s="41" t="str">
        <f t="shared" si="0"/>
        <v>Noruega</v>
      </c>
      <c r="D66" s="41" t="str">
        <f t="shared" si="1"/>
        <v>França</v>
      </c>
      <c r="E66" s="51" t="s">
        <v>74</v>
      </c>
      <c r="F66" s="115"/>
      <c r="G66" s="65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7"/>
      <c r="V66" s="67"/>
      <c r="W66" s="67"/>
      <c r="X66" s="67"/>
      <c r="Y66" s="67"/>
      <c r="Z66" s="78"/>
      <c r="AA66" s="81" t="str">
        <f t="shared" si="5"/>
        <v/>
      </c>
      <c r="AB66" s="90" t="str">
        <f t="shared" si="6"/>
        <v/>
      </c>
      <c r="AC66" s="85" t="str">
        <f t="shared" si="4"/>
        <v/>
      </c>
      <c r="AD66" s="54"/>
    </row>
    <row r="67" spans="1:30" ht="15.75" thickBot="1" x14ac:dyDescent="0.25">
      <c r="A67" s="106"/>
      <c r="B67" s="30" t="s">
        <v>122</v>
      </c>
      <c r="C67" s="42" t="str">
        <f t="shared" ref="C67:C73" si="7">TRIM(LEFT(B67,FIND(" x ",B67)-1))</f>
        <v>Senegal</v>
      </c>
      <c r="D67" s="42" t="str">
        <f t="shared" ref="D67:D73" si="8">TRIM(MID(B67,FIND(" x ",B67)+3,100))</f>
        <v>Iraque</v>
      </c>
      <c r="E67" s="52" t="s">
        <v>74</v>
      </c>
      <c r="F67" s="116"/>
      <c r="G67" s="68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70"/>
      <c r="V67" s="70"/>
      <c r="W67" s="70"/>
      <c r="X67" s="70"/>
      <c r="Y67" s="70"/>
      <c r="Z67" s="79"/>
      <c r="AA67" s="81" t="str">
        <f t="shared" si="5"/>
        <v/>
      </c>
      <c r="AB67" s="90" t="str">
        <f t="shared" si="6"/>
        <v/>
      </c>
      <c r="AC67" s="85" t="str">
        <f t="shared" si="4"/>
        <v/>
      </c>
      <c r="AD67" s="54"/>
    </row>
    <row r="68" spans="1:30" ht="15.75" thickBot="1" x14ac:dyDescent="0.25">
      <c r="A68" s="107">
        <v>46200</v>
      </c>
      <c r="B68" s="24" t="s">
        <v>123</v>
      </c>
      <c r="C68" s="36" t="str">
        <f t="shared" si="7"/>
        <v>Argélia</v>
      </c>
      <c r="D68" s="36" t="str">
        <f t="shared" si="8"/>
        <v>Áustria</v>
      </c>
      <c r="E68" s="44" t="s">
        <v>74</v>
      </c>
      <c r="F68" s="112"/>
      <c r="G68" s="60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2"/>
      <c r="V68" s="62"/>
      <c r="W68" s="62"/>
      <c r="X68" s="62"/>
      <c r="Y68" s="62"/>
      <c r="Z68" s="76"/>
      <c r="AA68" s="81" t="str">
        <f t="shared" si="5"/>
        <v/>
      </c>
      <c r="AB68" s="90" t="str">
        <f t="shared" si="6"/>
        <v/>
      </c>
      <c r="AC68" s="85" t="str">
        <f t="shared" ref="AC68:AC73" si="9">IF(OR($AA68="",$AB68=""),"",IF($AA68&gt;$AB68,"A",IF($AA68&lt;$AB68,"B","E")))</f>
        <v/>
      </c>
      <c r="AD68" s="54"/>
    </row>
    <row r="69" spans="1:30" ht="15.75" thickBot="1" x14ac:dyDescent="0.25">
      <c r="A69" s="108"/>
      <c r="B69" s="25" t="s">
        <v>124</v>
      </c>
      <c r="C69" s="37" t="str">
        <f t="shared" si="7"/>
        <v>Jordânia</v>
      </c>
      <c r="D69" s="37" t="str">
        <f t="shared" si="8"/>
        <v>Argentina</v>
      </c>
      <c r="E69" s="47" t="s">
        <v>74</v>
      </c>
      <c r="F69" s="114"/>
      <c r="G69" s="63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56"/>
      <c r="V69" s="56"/>
      <c r="W69" s="56"/>
      <c r="X69" s="56"/>
      <c r="Y69" s="56"/>
      <c r="Z69" s="80"/>
      <c r="AA69" s="81" t="str">
        <f t="shared" si="5"/>
        <v/>
      </c>
      <c r="AB69" s="90" t="str">
        <f t="shared" si="6"/>
        <v/>
      </c>
      <c r="AC69" s="85" t="str">
        <f t="shared" si="9"/>
        <v/>
      </c>
      <c r="AD69" s="54"/>
    </row>
    <row r="70" spans="1:30" ht="15.75" thickBot="1" x14ac:dyDescent="0.25">
      <c r="A70" s="109"/>
      <c r="B70" s="26" t="s">
        <v>125</v>
      </c>
      <c r="C70" s="38" t="str">
        <f t="shared" si="7"/>
        <v>Colômbia</v>
      </c>
      <c r="D70" s="38" t="str">
        <f t="shared" si="8"/>
        <v>Portugal</v>
      </c>
      <c r="E70" s="48" t="s">
        <v>74</v>
      </c>
      <c r="F70" s="115"/>
      <c r="G70" s="65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7"/>
      <c r="V70" s="67"/>
      <c r="W70" s="67"/>
      <c r="X70" s="67"/>
      <c r="Y70" s="67"/>
      <c r="Z70" s="78"/>
      <c r="AA70" s="81" t="str">
        <f t="shared" si="5"/>
        <v/>
      </c>
      <c r="AB70" s="90" t="str">
        <f t="shared" si="6"/>
        <v/>
      </c>
      <c r="AC70" s="85" t="str">
        <f t="shared" si="9"/>
        <v/>
      </c>
      <c r="AD70" s="54"/>
    </row>
    <row r="71" spans="1:30" ht="15.75" thickBot="1" x14ac:dyDescent="0.25">
      <c r="A71" s="109"/>
      <c r="B71" s="26" t="s">
        <v>126</v>
      </c>
      <c r="C71" s="38" t="str">
        <f t="shared" si="7"/>
        <v>Rep. Dem. Congo</v>
      </c>
      <c r="D71" s="38" t="str">
        <f t="shared" si="8"/>
        <v>Uzbequistão</v>
      </c>
      <c r="E71" s="48" t="s">
        <v>74</v>
      </c>
      <c r="F71" s="115"/>
      <c r="G71" s="65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7"/>
      <c r="V71" s="67"/>
      <c r="W71" s="67"/>
      <c r="X71" s="67"/>
      <c r="Y71" s="67"/>
      <c r="Z71" s="78"/>
      <c r="AA71" s="81" t="str">
        <f t="shared" si="5"/>
        <v/>
      </c>
      <c r="AB71" s="90" t="str">
        <f t="shared" si="6"/>
        <v/>
      </c>
      <c r="AC71" s="85" t="str">
        <f t="shared" si="9"/>
        <v/>
      </c>
      <c r="AD71" s="54"/>
    </row>
    <row r="72" spans="1:30" ht="15.75" thickBot="1" x14ac:dyDescent="0.25">
      <c r="A72" s="109"/>
      <c r="B72" s="26" t="s">
        <v>127</v>
      </c>
      <c r="C72" s="38" t="str">
        <f t="shared" si="7"/>
        <v>Panamá</v>
      </c>
      <c r="D72" s="38" t="str">
        <f t="shared" si="8"/>
        <v>Inglaterra</v>
      </c>
      <c r="E72" s="48" t="s">
        <v>74</v>
      </c>
      <c r="F72" s="115"/>
      <c r="G72" s="65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7"/>
      <c r="V72" s="67"/>
      <c r="W72" s="67"/>
      <c r="X72" s="67"/>
      <c r="Y72" s="67"/>
      <c r="Z72" s="78"/>
      <c r="AA72" s="81" t="str">
        <f t="shared" si="5"/>
        <v/>
      </c>
      <c r="AB72" s="90" t="str">
        <f t="shared" si="6"/>
        <v/>
      </c>
      <c r="AC72" s="85" t="str">
        <f t="shared" si="9"/>
        <v/>
      </c>
      <c r="AD72" s="54"/>
    </row>
    <row r="73" spans="1:30" ht="15.75" thickBot="1" x14ac:dyDescent="0.25">
      <c r="A73" s="110"/>
      <c r="B73" s="31" t="s">
        <v>128</v>
      </c>
      <c r="C73" s="43" t="str">
        <f t="shared" si="7"/>
        <v>Croácia</v>
      </c>
      <c r="D73" s="43" t="str">
        <f t="shared" si="8"/>
        <v>Gana</v>
      </c>
      <c r="E73" s="53" t="s">
        <v>74</v>
      </c>
      <c r="F73" s="117"/>
      <c r="G73" s="68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70"/>
      <c r="V73" s="70"/>
      <c r="W73" s="70"/>
      <c r="X73" s="70"/>
      <c r="Y73" s="70"/>
      <c r="Z73" s="79"/>
      <c r="AA73" s="81" t="str">
        <f t="shared" si="5"/>
        <v/>
      </c>
      <c r="AB73" s="90" t="str">
        <f t="shared" si="6"/>
        <v/>
      </c>
      <c r="AC73" s="88" t="str">
        <f t="shared" si="9"/>
        <v/>
      </c>
      <c r="AD73" s="54"/>
    </row>
    <row r="74" spans="1:30" ht="15.75" customHeight="1" thickBot="1" x14ac:dyDescent="0.25">
      <c r="F74" s="19" t="s">
        <v>129</v>
      </c>
      <c r="G74" s="74" cm="1">
        <f t="array" ref="G74">SUMPRODUCT(--(UPPER(G2:G73)=$AC$2:$AC$73),--($AC$2:$AC$73&lt;&gt;""))</f>
        <v>21</v>
      </c>
      <c r="H74" s="74" cm="1">
        <f t="array" ref="H74">SUMPRODUCT(--(UPPER(H2:H73)=$AC$2:$AC$73),--($AC$2:$AC$73&lt;&gt;""))</f>
        <v>21</v>
      </c>
      <c r="I74" s="74" cm="1">
        <f t="array" ref="I74">SUMPRODUCT(--(UPPER(I2:I73)=$AC$2:$AC$73),--($AC$2:$AC$73&lt;&gt;""))</f>
        <v>20</v>
      </c>
      <c r="J74" s="74" cm="1">
        <f t="array" ref="J74">SUMPRODUCT(--(UPPER(J2:J73)=$AC$2:$AC$73),--($AC$2:$AC$73&lt;&gt;""))</f>
        <v>22</v>
      </c>
      <c r="K74" s="74" cm="1">
        <f t="array" ref="K74">SUMPRODUCT(--(UPPER(K2:K73)=$AC$2:$AC$73),--($AC$2:$AC$73&lt;&gt;""))</f>
        <v>21</v>
      </c>
      <c r="L74" s="74" cm="1">
        <f t="array" ref="L74">SUMPRODUCT(--(UPPER(L2:L73)=$AC$2:$AC$73),--($AC$2:$AC$73&lt;&gt;""))</f>
        <v>20</v>
      </c>
      <c r="M74" s="74" cm="1">
        <f t="array" ref="M74">SUMPRODUCT(--(UPPER(M2:M73)=$AC$2:$AC$73),--($AC$2:$AC$73&lt;&gt;""))</f>
        <v>22</v>
      </c>
      <c r="N74" s="74" cm="1">
        <f t="array" ref="N74">SUMPRODUCT(--(UPPER(N2:N73)=$AC$2:$AC$73),--($AC$2:$AC$73&lt;&gt;""))</f>
        <v>24</v>
      </c>
      <c r="O74" s="74" cm="1">
        <f t="array" ref="O74">SUMPRODUCT(--(UPPER(O2:O73)=$AC$2:$AC$73),--($AC$2:$AC$73&lt;&gt;""))</f>
        <v>19</v>
      </c>
      <c r="P74" s="74" cm="1">
        <f t="array" ref="P74">SUMPRODUCT(--(UPPER(P2:P73)=$AC$2:$AC$73),--($AC$2:$AC$73&lt;&gt;""))</f>
        <v>22</v>
      </c>
      <c r="Q74" s="74" cm="1">
        <f t="array" ref="Q74">SUMPRODUCT(--(UPPER(Q2:Q73)=$AC$2:$AC$73),--($AC$2:$AC$73&lt;&gt;""))</f>
        <v>19</v>
      </c>
      <c r="R74" s="74" cm="1">
        <f t="array" ref="R74">SUMPRODUCT(--(UPPER(R2:R73)=$AC$2:$AC$73),--($AC$2:$AC$73&lt;&gt;""))</f>
        <v>19</v>
      </c>
      <c r="S74" s="74" cm="1">
        <f t="array" ref="S74">SUMPRODUCT(--(UPPER(S2:S73)=$AC$2:$AC$73),--($AC$2:$AC$73&lt;&gt;""))</f>
        <v>15</v>
      </c>
      <c r="T74" s="74" cm="1">
        <f t="array" ref="T74">SUMPRODUCT(--(UPPER(T2:T73)=$AC$2:$AC$73),--($AC$2:$AC$73&lt;&gt;""))</f>
        <v>16</v>
      </c>
      <c r="U74" s="74" cm="1">
        <f t="array" ref="U74">SUMPRODUCT(--(UPPER(U2:U73)=$AC$2:$AC$73),--($AC$2:$AC$73&lt;&gt;""))</f>
        <v>22</v>
      </c>
      <c r="V74" s="74" cm="1">
        <f t="array" ref="V74">SUMPRODUCT(--(UPPER(V2:V73)=$AC$2:$AC$73),--($AC$2:$AC$73&lt;&gt;""))</f>
        <v>18</v>
      </c>
      <c r="W74" s="74" cm="1">
        <f t="array" ref="W74">SUMPRODUCT(--(UPPER(W2:W73)=$AC$2:$AC$73),--($AC$2:$AC$73&lt;&gt;""))</f>
        <v>21</v>
      </c>
      <c r="X74" s="74" cm="1">
        <f t="array" ref="X74">SUMPRODUCT(--(UPPER(X2:X73)=$AC$2:$AC$73),--($AC$2:$AC$73&lt;&gt;""))</f>
        <v>18</v>
      </c>
      <c r="Y74" s="74" cm="1">
        <f t="array" ref="Y74">SUMPRODUCT(--(UPPER(Y2:Y73)=$AC$2:$AC$73),--($AC$2:$AC$73&lt;&gt;""))</f>
        <v>21</v>
      </c>
      <c r="Z74" s="74" cm="1">
        <f t="array" ref="Z74">SUMPRODUCT(--(UPPER(Z2:Z73)=$AC$2:$AC$73),--($AC$2:$AC$73&lt;&gt;""))</f>
        <v>17</v>
      </c>
    </row>
  </sheetData>
  <mergeCells count="18">
    <mergeCell ref="A18:A21"/>
    <mergeCell ref="A56:A61"/>
    <mergeCell ref="A62:A67"/>
    <mergeCell ref="A68:A73"/>
    <mergeCell ref="F1:F73"/>
    <mergeCell ref="A46:A49"/>
    <mergeCell ref="A50:A55"/>
    <mergeCell ref="A22:A25"/>
    <mergeCell ref="A26:A29"/>
    <mergeCell ref="A30:A33"/>
    <mergeCell ref="A34:A37"/>
    <mergeCell ref="A38:A41"/>
    <mergeCell ref="A42:A45"/>
    <mergeCell ref="A2:A3"/>
    <mergeCell ref="A4:A5"/>
    <mergeCell ref="A6:A9"/>
    <mergeCell ref="A10:A13"/>
    <mergeCell ref="A14:A17"/>
  </mergeCells>
  <phoneticPr fontId="15" type="noConversion"/>
  <conditionalFormatting sqref="G2:Z37 G38:U39 W38:Z39 V39 G40:Z52 G53:W53 Y53:Z53 G54:Z73">
    <cfRule type="expression" dxfId="3" priority="1">
      <formula>AND($AC2&lt;&gt;"",G2=$AC2)</formula>
    </cfRule>
    <cfRule type="expression" dxfId="2" priority="2">
      <formula>AND($AC2&lt;&gt;"",G2&lt;&gt;"",G2&lt;&gt;$AC2)</formula>
    </cfRule>
  </conditionalFormatting>
  <conditionalFormatting sqref="V38">
    <cfRule type="expression" dxfId="1" priority="5">
      <formula>AND($AC39&lt;&gt;"",V38=$AC39)</formula>
    </cfRule>
    <cfRule type="expression" dxfId="0" priority="6">
      <formula>AND($AC39&lt;&gt;"",V38&lt;&gt;"",V38&lt;&gt;$AC39)</formula>
    </cfRule>
  </conditionalFormatting>
  <dataValidations count="1">
    <dataValidation type="list" allowBlank="1" showInputMessage="1" showErrorMessage="1" sqref="Y2:Z73 X2:X52 X54:X73 W39 G40:W73 G39:U39 G2:W38" xr:uid="{5B8CAFB9-760C-4EAE-8934-296EE66D380D}">
      <formula1>"A,B,E"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Pagamentos</vt:lpstr>
      <vt:lpstr>Apuração</vt:lpstr>
      <vt:lpstr>ORGANIZAÇÃO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BOMFIM BRANCO</dc:creator>
  <cp:keywords/>
  <dc:description/>
  <cp:lastModifiedBy>Christian Branco</cp:lastModifiedBy>
  <cp:revision/>
  <dcterms:created xsi:type="dcterms:W3CDTF">2026-06-10T21:13:32Z</dcterms:created>
  <dcterms:modified xsi:type="dcterms:W3CDTF">2026-06-21T12:26:31Z</dcterms:modified>
  <cp:category/>
  <cp:contentStatus/>
</cp:coreProperties>
</file>