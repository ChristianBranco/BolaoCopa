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96FEC146-4323-497F-8AB9-9130D1DDE689}" xr6:coauthVersionLast="47" xr6:coauthVersionMax="47" xr10:uidLastSave="{00000000-0000-0000-0000-000000000000}"/>
  <bookViews>
    <workbookView xWindow="-120" yWindow="-120" windowWidth="29040" windowHeight="16440" tabRatio="500" activeTab="6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/>
  <c r="D2" i="8"/>
  <c r="C2" i="8"/>
  <c r="AD3" i="7"/>
  <c r="AC3" i="7"/>
  <c r="AE3" i="7"/>
  <c r="D3" i="7"/>
  <c r="C3" i="7"/>
  <c r="AD2" i="7"/>
  <c r="AC2" i="7"/>
  <c r="AE2" i="7"/>
  <c r="D2" i="7"/>
  <c r="C2" i="7"/>
  <c r="AD5" i="6"/>
  <c r="AC5" i="6"/>
  <c r="AE5" i="6" s="1"/>
  <c r="D5" i="6"/>
  <c r="C5" i="6"/>
  <c r="AD4" i="6"/>
  <c r="AC4" i="6"/>
  <c r="AE4" i="6" s="1"/>
  <c r="D4" i="6"/>
  <c r="C4" i="6"/>
  <c r="AD3" i="6"/>
  <c r="AC3" i="6"/>
  <c r="AE3" i="6" s="1"/>
  <c r="D3" i="6"/>
  <c r="C3" i="6"/>
  <c r="AD2" i="6"/>
  <c r="AC2" i="6"/>
  <c r="AE2" i="6" s="1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 s="1"/>
  <c r="C9" i="5"/>
  <c r="AE8" i="5"/>
  <c r="AD8" i="5"/>
  <c r="AC8" i="5"/>
  <c r="D8" i="5"/>
  <c r="AD7" i="5"/>
  <c r="AC7" i="5"/>
  <c r="AE7" i="5" s="1"/>
  <c r="D7" i="5"/>
  <c r="C7" i="5"/>
  <c r="AD6" i="5"/>
  <c r="AC6" i="5"/>
  <c r="AE6" i="5" s="1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AA3" i="8" a="1"/>
  <c r="T18" i="4" a="1"/>
  <c r="T18" i="4"/>
  <c r="T10" i="5" a="1"/>
  <c r="T6" i="6" a="1"/>
  <c r="T4" i="7" a="1"/>
  <c r="T3" i="8" a="1"/>
  <c r="N18" i="4" a="1"/>
  <c r="N18" i="4"/>
  <c r="N10" i="5" a="1"/>
  <c r="N6" i="6" a="1"/>
  <c r="N4" i="7" a="1"/>
  <c r="N3" i="8" a="1"/>
  <c r="J18" i="4" a="1"/>
  <c r="J18" i="4"/>
  <c r="J10" i="5" a="1"/>
  <c r="J6" i="6" a="1"/>
  <c r="J4" i="7" a="1"/>
  <c r="J3" i="8" a="1"/>
  <c r="W74" i="3" a="1"/>
  <c r="W74" i="3"/>
  <c r="Y18" i="4" a="1"/>
  <c r="Y18" i="4"/>
  <c r="Y10" i="5" a="1"/>
  <c r="Y6" i="6" a="1"/>
  <c r="Y4" i="7" a="1"/>
  <c r="Y3" i="8" a="1"/>
  <c r="K74" i="3" a="1"/>
  <c r="K74" i="3"/>
  <c r="M18" i="4" a="1"/>
  <c r="M18" i="4"/>
  <c r="M10" i="5" a="1"/>
  <c r="M6" i="6" a="1"/>
  <c r="M4" i="7" a="1"/>
  <c r="M3" i="8" a="1"/>
  <c r="Q74" i="3" a="1"/>
  <c r="Q74" i="3"/>
  <c r="S18" i="4" a="1"/>
  <c r="S18" i="4"/>
  <c r="S10" i="5" a="1"/>
  <c r="S6" i="6" a="1"/>
  <c r="S4" i="7" a="1"/>
  <c r="S3" i="8" a="1"/>
  <c r="P74" i="3" a="1"/>
  <c r="P74" i="3"/>
  <c r="R18" i="4" a="1"/>
  <c r="R18" i="4"/>
  <c r="R10" i="5" a="1"/>
  <c r="R6" i="6" a="1"/>
  <c r="R4" i="7" a="1"/>
  <c r="R3" i="8" a="1"/>
  <c r="V74" i="3" a="1"/>
  <c r="V74" i="3"/>
  <c r="X18" i="4" a="1"/>
  <c r="X18" i="4"/>
  <c r="X10" i="5" a="1"/>
  <c r="X6" i="6" a="1"/>
  <c r="X4" i="7" a="1"/>
  <c r="X3" i="8" a="1"/>
  <c r="O74" i="3" a="1"/>
  <c r="O74" i="3"/>
  <c r="Q18" i="4" a="1"/>
  <c r="Q18" i="4"/>
  <c r="Q10" i="5" a="1"/>
  <c r="Q6" i="6" a="1"/>
  <c r="Q4" i="7" a="1"/>
  <c r="Q3" i="8" a="1"/>
  <c r="U74" i="3" a="1"/>
  <c r="U74" i="3"/>
  <c r="W18" i="4" a="1"/>
  <c r="W18" i="4"/>
  <c r="W10" i="5" a="1"/>
  <c r="W6" i="6" a="1"/>
  <c r="W4" i="7" a="1"/>
  <c r="W3" i="8" a="1"/>
  <c r="I74" i="3" a="1"/>
  <c r="I74" i="3"/>
  <c r="K18" i="4" a="1"/>
  <c r="K18" i="4"/>
  <c r="K10" i="5" a="1"/>
  <c r="K6" i="6" a="1"/>
  <c r="K4" i="7" a="1"/>
  <c r="K3" i="8" a="1"/>
  <c r="J74" i="3" a="1"/>
  <c r="J74" i="3"/>
  <c r="L18" i="4" a="1"/>
  <c r="L18" i="4"/>
  <c r="L10" i="5" a="1"/>
  <c r="L6" i="6" a="1"/>
  <c r="L4" i="7" a="1"/>
  <c r="L3" i="8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P3" i="8" a="1"/>
  <c r="T74" i="3" a="1"/>
  <c r="T74" i="3"/>
  <c r="V18" i="4" a="1"/>
  <c r="V18" i="4"/>
  <c r="V10" i="5" a="1"/>
  <c r="V6" i="6" a="1"/>
  <c r="V4" i="7" a="1"/>
  <c r="V3" i="8" a="1"/>
  <c r="Z74" i="3" a="1"/>
  <c r="Z74" i="3"/>
  <c r="AB18" i="4" a="1"/>
  <c r="AB18" i="4"/>
  <c r="AB10" i="5" a="1"/>
  <c r="AB6" i="6" a="1"/>
  <c r="AB4" i="7" a="1"/>
  <c r="AB3" i="8" a="1"/>
  <c r="X74" i="3" a="1"/>
  <c r="X74" i="3"/>
  <c r="Z18" i="4" a="1"/>
  <c r="Z18" i="4"/>
  <c r="Z10" i="5" a="1"/>
  <c r="Z6" i="6" a="1"/>
  <c r="Z4" i="7" a="1"/>
  <c r="Z3" i="8" a="1"/>
  <c r="R74" i="3" a="1"/>
  <c r="R74" i="3"/>
  <c r="G74" i="3" a="1"/>
  <c r="G74" i="3"/>
  <c r="I18" i="4" a="1"/>
  <c r="I18" i="4"/>
  <c r="I10" i="5" a="1"/>
  <c r="I6" i="6" a="1"/>
  <c r="I4" i="7" a="1"/>
  <c r="I3" i="8" a="1"/>
  <c r="M74" i="3" a="1"/>
  <c r="M74" i="3"/>
  <c r="O18" i="4" a="1"/>
  <c r="O18" i="4"/>
  <c r="O10" i="5" a="1"/>
  <c r="O6" i="6" a="1"/>
  <c r="O4" i="7" a="1"/>
  <c r="O3" i="8" a="1"/>
  <c r="S74" i="3" a="1"/>
  <c r="S74" i="3"/>
  <c r="U18" i="4" a="1"/>
  <c r="U18" i="4"/>
  <c r="U10" i="5" a="1"/>
  <c r="U6" i="6" a="1"/>
  <c r="U4" i="7" a="1"/>
  <c r="U3" i="8" a="1"/>
  <c r="AE5" i="5" l="1"/>
  <c r="AA10" i="5" s="1"/>
  <c r="AA6" i="6" s="1"/>
  <c r="AA4" i="7" s="1"/>
  <c r="AA3" i="8" s="1"/>
  <c r="R10" i="5"/>
  <c r="R6" i="6" s="1"/>
  <c r="R4" i="7" s="1"/>
  <c r="R3" i="8" s="1"/>
  <c r="Q10" i="5"/>
  <c r="Q6" i="6" s="1"/>
  <c r="Q4" i="7" s="1"/>
  <c r="Q3" i="8" s="1"/>
  <c r="S10" i="5"/>
  <c r="S6" i="6" s="1"/>
  <c r="S4" i="7" s="1"/>
  <c r="S3" i="8" s="1"/>
  <c r="K10" i="5"/>
  <c r="K6" i="6" s="1"/>
  <c r="K4" i="7" s="1"/>
  <c r="K3" i="8" s="1"/>
  <c r="Y10" i="5"/>
  <c r="Y6" i="6" s="1"/>
  <c r="Y4" i="7" s="1"/>
  <c r="Y3" i="8" s="1"/>
  <c r="M10" i="5"/>
  <c r="M6" i="6" s="1"/>
  <c r="M4" i="7" s="1"/>
  <c r="M3" i="8" s="1"/>
  <c r="L10" i="5"/>
  <c r="L6" i="6" s="1"/>
  <c r="L4" i="7" s="1"/>
  <c r="L3" i="8" s="1"/>
  <c r="J10" i="5"/>
  <c r="J6" i="6" s="1"/>
  <c r="J4" i="7" s="1"/>
  <c r="J3" i="8" s="1"/>
  <c r="X10" i="5"/>
  <c r="X6" i="6" s="1"/>
  <c r="X4" i="7" s="1"/>
  <c r="X3" i="8" s="1"/>
  <c r="W10" i="5"/>
  <c r="W6" i="6" s="1"/>
  <c r="W4" i="7" s="1"/>
  <c r="W3" i="8" s="1"/>
  <c r="N10" i="5"/>
  <c r="N6" i="6" s="1"/>
  <c r="N4" i="7" s="1"/>
  <c r="N3" i="8" s="1"/>
  <c r="V10" i="5"/>
  <c r="V6" i="6" s="1"/>
  <c r="V4" i="7" s="1"/>
  <c r="V3" i="8" s="1"/>
  <c r="P10" i="5"/>
  <c r="P6" i="6" s="1"/>
  <c r="P4" i="7" s="1"/>
  <c r="P3" i="8" s="1"/>
  <c r="Z10" i="5"/>
  <c r="Z6" i="6" s="1"/>
  <c r="Z4" i="7" s="1"/>
  <c r="Z3" i="8" s="1"/>
  <c r="T10" i="5"/>
  <c r="T6" i="6" s="1"/>
  <c r="T4" i="7" s="1"/>
  <c r="T3" i="8" s="1"/>
  <c r="AB10" i="5"/>
  <c r="AB6" i="6" s="1"/>
  <c r="AB4" i="7" s="1"/>
  <c r="AB3" i="8" s="1"/>
  <c r="I10" i="5"/>
  <c r="I6" i="6" s="1"/>
  <c r="I4" i="7" s="1"/>
  <c r="I3" i="8" s="1"/>
  <c r="U10" i="5"/>
  <c r="U6" i="6" s="1"/>
  <c r="U4" i="7" s="1"/>
  <c r="U3" i="8" s="1"/>
  <c r="O10" i="5" l="1"/>
  <c r="O6" i="6" s="1"/>
  <c r="O4" i="7" s="1"/>
  <c r="O3" i="8" s="1"/>
</calcChain>
</file>

<file path=xl/sharedStrings.xml><?xml version="1.0" encoding="utf-8"?>
<sst xmlns="http://schemas.openxmlformats.org/spreadsheetml/2006/main" count="2439" uniqueCount="184">
  <si>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</si>
  <si>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</si>
  <si>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</si>
  <si>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</si>
  <si>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</si>
  <si>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</si>
  <si>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</si>
  <si>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</si>
  <si>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</si>
  <si>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</si>
  <si>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</si>
  <si>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</si>
  <si>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</si>
  <si>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</si>
  <si>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</si>
  <si>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</si>
  <si>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</si>
  <si>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</si>
  <si>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</si>
  <si>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</si>
  <si>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</si>
  <si>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</si>
  <si>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</si>
  <si>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</si>
  <si>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</si>
  <si>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</si>
  <si>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</si>
  <si>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</si>
  <si>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</si>
  <si>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</si>
  <si>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</si>
  <si>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</si>
  <si>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</si>
  <si>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</si>
  <si>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</si>
  <si>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</si>
  <si>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</si>
  <si>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</si>
  <si>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</si>
  <si>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</si>
  <si>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</si>
  <si>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</si>
  <si>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</si>
  <si>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</si>
  <si>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</si>
  <si>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</si>
  <si>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</si>
  <si>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</si>
  <si>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</si>
  <si>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</si>
  <si>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</si>
  <si>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</si>
  <si>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</si>
  <si>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</si>
  <si>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</si>
  <si>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</si>
  <si>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</si>
  <si>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</si>
  <si>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</si>
  <si>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</si>
  <si>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</si>
  <si>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</si>
  <si>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</si>
  <si>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</si>
  <si>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</si>
  <si>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</si>
  <si>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</si>
  <si>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</si>
  <si>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</si>
  <si>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</si>
  <si>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</si>
  <si>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</si>
  <si>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</si>
  <si>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</si>
  <si>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</si>
  <si>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</si>
  <si>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</si>
  <si>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</si>
  <si>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</si>
  <si>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</si>
  <si>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</si>
  <si>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</si>
  <si>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</si>
  <si>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</si>
  <si>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</si>
  <si>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</si>
  <si>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</si>
  <si>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</si>
  <si>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</si>
  <si>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</si>
  <si>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</si>
  <si>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</si>
  <si>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</si>
  <si>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</si>
  <si>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</si>
  <si>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</si>
  <si>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</si>
  <si>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</si>
  <si>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</si>
  <si>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</si>
  <si>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</si>
  <si>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</si>
  <si>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</si>
  <si>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</si>
  <si>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</si>
  <si>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</si>
  <si>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</si>
  <si>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</si>
  <si>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</si>
  <si>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</si>
  <si>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</si>
  <si>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</si>
  <si>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</si>
  <si>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</si>
  <si>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</si>
  <si>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</si>
  <si>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</si>
  <si>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</si>
  <si>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</si>
  <si>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</si>
  <si>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</si>
  <si>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</si>
  <si>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</si>
  <si>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</si>
  <si>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</si>
  <si>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</si>
  <si>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</si>
  <si>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</si>
  <si>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</si>
  <si>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</si>
  <si>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</si>
  <si>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</si>
  <si>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</si>
  <si>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</si>
  <si>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</si>
  <si>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</si>
  <si>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</si>
  <si>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</si>
  <si>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</si>
  <si>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</si>
  <si>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</si>
  <si>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</si>
  <si>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</si>
  <si>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</si>
  <si>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</si>
  <si>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</si>
  <si>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</si>
  <si>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</si>
  <si>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</si>
  <si>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</si>
  <si>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</si>
  <si>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</si>
  <si>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</si>
  <si>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</si>
  <si>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</si>
  <si>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</si>
  <si>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</si>
  <si>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</si>
  <si>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</si>
  <si>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</si>
  <si>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</si>
  <si>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</si>
  <si>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</si>
  <si>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</si>
  <si>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</si>
  <si>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</si>
  <si>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</si>
  <si>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</si>
  <si>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</si>
  <si>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</si>
  <si>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</si>
  <si>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Semifinal 1 x Vencedor Semifinal 2</t>
  </si>
  <si>
    <t>Colômbia</t>
  </si>
  <si>
    <t>Argentina</t>
  </si>
  <si>
    <t>Argentina x Egito</t>
  </si>
  <si>
    <t>Suíça x Colômbia</t>
  </si>
  <si>
    <t>2x3</t>
  </si>
  <si>
    <t>1X4</t>
  </si>
  <si>
    <t>França x Marrocos</t>
  </si>
  <si>
    <t>Noruega x Inglaterra</t>
  </si>
  <si>
    <t>Espanha x Bélgica</t>
  </si>
  <si>
    <t>Argentina x Suíça</t>
  </si>
  <si>
    <t>França x Espanha</t>
  </si>
  <si>
    <t>Inglaterra x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</si>
</sst>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8B5B38-DA7F-4A69-966B-0ABC9E31C73F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dc24b660-c8df-4d80-aee1-3ad0473fa14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49" t="s">
        <v>0</v>
      </c>
      <c r="B1" s="149"/>
      <c r="C1" s="3"/>
      <c r="D1" s="3"/>
      <c r="E1" s="3"/>
      <c r="F1" s="3"/>
      <c r="G1" s="3"/>
      <c r="H1" s="3"/>
    </row>
    <row r="2" spans="1:8" ht="15" customHeight="1" x14ac:dyDescent="0.25">
      <c r="A2" s="149"/>
      <c r="B2" s="149"/>
      <c r="C2" s="3"/>
      <c r="D2" s="3"/>
      <c r="E2" s="3"/>
      <c r="F2" s="3"/>
      <c r="G2" s="3"/>
      <c r="H2" s="3"/>
    </row>
    <row r="3" spans="1:8" ht="15" customHeight="1" x14ac:dyDescent="0.25">
      <c r="A3" s="149"/>
      <c r="B3" s="149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0"/>
      <c r="C1" s="150"/>
      <c r="D1" s="150"/>
      <c r="E1" s="150"/>
      <c r="F1" s="150"/>
      <c r="G1" s="150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2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3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2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3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2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4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2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4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2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5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2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5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2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5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2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5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2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6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2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6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2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6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2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6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2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5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2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5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2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5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2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5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2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6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2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6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2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6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2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6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2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5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2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5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2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5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2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5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2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6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2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6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2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6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2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6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2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5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2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5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2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5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2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5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2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6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2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6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2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6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2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6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2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5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2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5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2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5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2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5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2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6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2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6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2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6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2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6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2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5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2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5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2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5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2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5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2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6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2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6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2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6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2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6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2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6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2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6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2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5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2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5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2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5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2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5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2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5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2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5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2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6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2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6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2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6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2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6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2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6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2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6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2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1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2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1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2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1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2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1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2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1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2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1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2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56:A61"/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5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7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7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7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7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7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7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7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7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7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7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7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7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7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7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7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zoomScaleNormal="100" workbookViewId="0">
      <pane ySplit="1" topLeftCell="A2" activePane="bottomLeft" state="frozen"/>
      <selection activeCell="C1" sqref="C1"/>
      <selection pane="bottomLeft" activeCell="G10" sqref="G1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58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58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58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58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176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>
        <f t="shared" si="2"/>
        <v>2</v>
      </c>
      <c r="AD5" s="142">
        <f t="shared" si="3"/>
        <v>3</v>
      </c>
      <c r="AE5" s="143" t="str">
        <f t="shared" si="4"/>
        <v>B</v>
      </c>
    </row>
    <row r="6" spans="1:31" ht="15.75" customHeight="1" x14ac:dyDescent="0.25">
      <c r="A6" s="158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56</v>
      </c>
      <c r="F6" s="126"/>
      <c r="G6" s="127"/>
      <c r="H6" s="133"/>
      <c r="I6" s="55" t="s">
        <v>45</v>
      </c>
      <c r="J6" s="104" t="s">
        <v>46</v>
      </c>
      <c r="K6" s="55" t="s">
        <v>45</v>
      </c>
      <c r="L6" s="55" t="s">
        <v>45</v>
      </c>
      <c r="M6" s="55" t="s">
        <v>45</v>
      </c>
      <c r="N6" s="55" t="s">
        <v>44</v>
      </c>
      <c r="O6" s="55" t="s">
        <v>44</v>
      </c>
      <c r="P6" s="55" t="s">
        <v>45</v>
      </c>
      <c r="Q6" s="55" t="s">
        <v>45</v>
      </c>
      <c r="R6" s="55" t="s">
        <v>45</v>
      </c>
      <c r="S6" s="55" t="s">
        <v>44</v>
      </c>
      <c r="T6" s="55" t="s">
        <v>45</v>
      </c>
      <c r="U6" s="55" t="s">
        <v>46</v>
      </c>
      <c r="V6" s="55" t="s">
        <v>45</v>
      </c>
      <c r="W6" s="55" t="s">
        <v>44</v>
      </c>
      <c r="X6" s="55" t="s">
        <v>45</v>
      </c>
      <c r="Y6" s="55" t="s">
        <v>46</v>
      </c>
      <c r="Z6" s="55"/>
      <c r="AA6" s="55" t="s">
        <v>44</v>
      </c>
      <c r="AB6" s="55" t="s">
        <v>45</v>
      </c>
      <c r="AC6" s="134">
        <f t="shared" si="2"/>
        <v>0</v>
      </c>
      <c r="AD6" s="135">
        <f t="shared" si="3"/>
        <v>1</v>
      </c>
      <c r="AE6" s="136" t="str">
        <f t="shared" si="4"/>
        <v>B</v>
      </c>
    </row>
    <row r="7" spans="1:31" ht="15.75" customHeight="1" x14ac:dyDescent="0.25">
      <c r="A7" s="158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177</v>
      </c>
      <c r="F7" s="126"/>
      <c r="G7" s="127"/>
      <c r="H7" s="133"/>
      <c r="I7" s="74" t="s">
        <v>45</v>
      </c>
      <c r="J7" s="105" t="s">
        <v>44</v>
      </c>
      <c r="K7" s="74" t="s">
        <v>44</v>
      </c>
      <c r="L7" s="74" t="s">
        <v>46</v>
      </c>
      <c r="M7" s="74" t="s">
        <v>44</v>
      </c>
      <c r="N7" s="74" t="s">
        <v>45</v>
      </c>
      <c r="O7" s="74" t="s">
        <v>44</v>
      </c>
      <c r="P7" s="74" t="s">
        <v>44</v>
      </c>
      <c r="Q7" s="74" t="s">
        <v>45</v>
      </c>
      <c r="R7" s="74" t="s">
        <v>44</v>
      </c>
      <c r="S7" s="74" t="s">
        <v>44</v>
      </c>
      <c r="T7" s="74" t="s">
        <v>44</v>
      </c>
      <c r="U7" s="74" t="s">
        <v>45</v>
      </c>
      <c r="V7" s="74" t="s">
        <v>46</v>
      </c>
      <c r="W7" s="74" t="s">
        <v>45</v>
      </c>
      <c r="X7" s="74" t="s">
        <v>45</v>
      </c>
      <c r="Y7" s="74" t="s">
        <v>45</v>
      </c>
      <c r="Z7" s="74" t="s">
        <v>44</v>
      </c>
      <c r="AA7" s="74" t="s">
        <v>44</v>
      </c>
      <c r="AB7" s="74" t="s">
        <v>44</v>
      </c>
      <c r="AC7" s="138">
        <f t="shared" si="2"/>
        <v>1</v>
      </c>
      <c r="AD7" s="139">
        <f t="shared" si="3"/>
        <v>4</v>
      </c>
      <c r="AE7" s="140" t="str">
        <f t="shared" si="4"/>
        <v>B</v>
      </c>
    </row>
    <row r="8" spans="1:31" ht="15.75" customHeight="1" x14ac:dyDescent="0.25">
      <c r="A8" s="158">
        <v>46210</v>
      </c>
      <c r="B8" s="123" t="s">
        <v>174</v>
      </c>
      <c r="C8" s="124" t="s">
        <v>173</v>
      </c>
      <c r="D8" s="146" t="str">
        <f t="shared" si="1"/>
        <v>Egito</v>
      </c>
      <c r="E8" s="137" t="s">
        <v>105</v>
      </c>
      <c r="F8" s="126"/>
      <c r="G8" s="127"/>
      <c r="H8" s="128"/>
      <c r="I8" s="38" t="s">
        <v>44</v>
      </c>
      <c r="J8" s="38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44</v>
      </c>
      <c r="R8" s="38" t="s">
        <v>44</v>
      </c>
      <c r="S8" s="38" t="s">
        <v>44</v>
      </c>
      <c r="T8" s="38" t="s">
        <v>44</v>
      </c>
      <c r="U8" s="38" t="s">
        <v>44</v>
      </c>
      <c r="V8" s="38" t="s">
        <v>44</v>
      </c>
      <c r="W8" s="38" t="s">
        <v>44</v>
      </c>
      <c r="X8" s="38" t="s">
        <v>44</v>
      </c>
      <c r="Y8" s="38" t="s">
        <v>44</v>
      </c>
      <c r="Z8" s="38" t="s">
        <v>44</v>
      </c>
      <c r="AA8" s="38" t="s">
        <v>45</v>
      </c>
      <c r="AB8" s="38" t="s">
        <v>44</v>
      </c>
      <c r="AC8" s="141">
        <f t="shared" si="2"/>
        <v>3</v>
      </c>
      <c r="AD8" s="142">
        <f t="shared" si="3"/>
        <v>2</v>
      </c>
      <c r="AE8" s="143" t="str">
        <f t="shared" si="4"/>
        <v>A</v>
      </c>
    </row>
    <row r="9" spans="1:31" ht="15.75" customHeight="1" x14ac:dyDescent="0.25">
      <c r="A9" s="158"/>
      <c r="B9" s="123" t="s">
        <v>175</v>
      </c>
      <c r="C9" s="147" t="str">
        <f t="shared" si="0"/>
        <v>Suíça</v>
      </c>
      <c r="D9" s="148" t="s">
        <v>172</v>
      </c>
      <c r="E9" s="125" t="s">
        <v>69</v>
      </c>
      <c r="F9" s="126" t="s">
        <v>44</v>
      </c>
      <c r="G9" s="127"/>
      <c r="H9" s="133"/>
      <c r="I9" s="55" t="s">
        <v>45</v>
      </c>
      <c r="J9" s="55" t="s">
        <v>45</v>
      </c>
      <c r="K9" s="55" t="s">
        <v>45</v>
      </c>
      <c r="L9" s="55" t="s">
        <v>45</v>
      </c>
      <c r="M9" s="55" t="s">
        <v>45</v>
      </c>
      <c r="N9" s="55" t="s">
        <v>45</v>
      </c>
      <c r="O9" s="55" t="s">
        <v>45</v>
      </c>
      <c r="P9" s="55" t="s">
        <v>45</v>
      </c>
      <c r="Q9" s="55" t="s">
        <v>45</v>
      </c>
      <c r="R9" s="55" t="s">
        <v>45</v>
      </c>
      <c r="S9" s="55" t="s">
        <v>45</v>
      </c>
      <c r="T9" s="55" t="s">
        <v>45</v>
      </c>
      <c r="U9" s="55" t="s">
        <v>45</v>
      </c>
      <c r="V9" s="55" t="s">
        <v>46</v>
      </c>
      <c r="W9" s="55" t="s">
        <v>45</v>
      </c>
      <c r="X9" s="55" t="s">
        <v>45</v>
      </c>
      <c r="Y9" s="55" t="s">
        <v>46</v>
      </c>
      <c r="Z9" s="55" t="s">
        <v>45</v>
      </c>
      <c r="AA9" s="55" t="s">
        <v>46</v>
      </c>
      <c r="AB9" s="55" t="s">
        <v>45</v>
      </c>
      <c r="AC9" s="134">
        <f t="shared" si="2"/>
        <v>0</v>
      </c>
      <c r="AD9" s="135">
        <f t="shared" si="3"/>
        <v>0</v>
      </c>
      <c r="AE9" s="136" t="str">
        <f t="shared" si="4"/>
        <v>E</v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59</v>
      </c>
      <c r="J10" s="115">
        <f t="array" ref="J10">SUMPRODUCT(--(UPPER(J2:J9)=$AE$2:$AE$9),--($AE$2:$AE$9&lt;&gt;""))+'MATA-MATA 32'!J18</f>
        <v>55</v>
      </c>
      <c r="K10" s="115">
        <f t="array" ref="K10">SUMPRODUCT(--(UPPER(K2:K9)=$AE$2:$AE$9),--($AE$2:$AE$9&lt;&gt;""))+'MATA-MATA 32'!K18</f>
        <v>57</v>
      </c>
      <c r="L10" s="115">
        <f t="array" ref="L10">SUMPRODUCT(--(UPPER(L2:L9)=$AE$2:$AE$9),--($AE$2:$AE$9&lt;&gt;""))+'MATA-MATA 32'!L18</f>
        <v>58</v>
      </c>
      <c r="M10" s="115">
        <f t="array" ref="M10">SUMPRODUCT(--(UPPER(M2:M9)=$AE$2:$AE$9),--($AE$2:$AE$9&lt;&gt;""))+'MATA-MATA 32'!M18</f>
        <v>54</v>
      </c>
      <c r="N10" s="115">
        <f t="array" ref="N10">SUMPRODUCT(--(UPPER(N2:N9)=$AE$2:$AE$9),--($AE$2:$AE$9&lt;&gt;""))+'MATA-MATA 32'!N18</f>
        <v>53</v>
      </c>
      <c r="O10" s="115">
        <f t="array" ref="O10">SUMPRODUCT(--(UPPER(O2:O9)=$AE$2:$AE$9),--($AE$2:$AE$9&lt;&gt;""))+'MATA-MATA 32'!O18</f>
        <v>59</v>
      </c>
      <c r="P10" s="115">
        <f t="array" ref="P10">SUMPRODUCT(--(UPPER(P2:P9)=$AE$2:$AE$9),--($AE$2:$AE$9&lt;&gt;""))+'MATA-MATA 32'!P18</f>
        <v>63</v>
      </c>
      <c r="Q10" s="115">
        <f t="array" ref="Q10">SUMPRODUCT(--(UPPER(Q2:Q9)=$AE$2:$AE$9),--($AE$2:$AE$9&lt;&gt;""))+'MATA-MATA 32'!Q18</f>
        <v>53</v>
      </c>
      <c r="R10" s="115">
        <f t="array" ref="R10">SUMPRODUCT(--(UPPER(R2:R9)=$AE$2:$AE$9),--($AE$2:$AE$9&lt;&gt;""))+'MATA-MATA 32'!R18</f>
        <v>55</v>
      </c>
      <c r="S10" s="115">
        <f t="array" ref="S10">SUMPRODUCT(--(UPPER(S2:S9)=$AE$2:$AE$9),--($AE$2:$AE$9&lt;&gt;""))+'MATA-MATA 32'!S18</f>
        <v>51</v>
      </c>
      <c r="T10" s="115">
        <f t="array" ref="T10">SUMPRODUCT(--(UPPER(T2:T9)=$AE$2:$AE$9),--($AE$2:$AE$9&lt;&gt;""))+'MATA-MATA 32'!T18</f>
        <v>45</v>
      </c>
      <c r="U10" s="115">
        <f t="array" ref="U10">SUMPRODUCT(--(UPPER(U2:U9)=$AE$2:$AE$9),--($AE$2:$AE$9&lt;&gt;""))+'MATA-MATA 32'!U18</f>
        <v>48</v>
      </c>
      <c r="V10" s="115">
        <f t="array" ref="V10">SUMPRODUCT(--(UPPER(V2:V9)=$AE$2:$AE$9),--($AE$2:$AE$9&lt;&gt;""))+'MATA-MATA 32'!V18</f>
        <v>52</v>
      </c>
      <c r="W10" s="115">
        <f t="array" ref="W10">SUMPRODUCT(--(UPPER(W2:W9)=$AE$2:$AE$9),--($AE$2:$AE$9&lt;&gt;""))+'MATA-MATA 32'!W18</f>
        <v>55</v>
      </c>
      <c r="X10" s="115">
        <f t="array" ref="X10">SUMPRODUCT(--(UPPER(X2:X9)=$AE$2:$AE$9),--($AE$2:$AE$9&lt;&gt;""))+'MATA-MATA 32'!X18</f>
        <v>54</v>
      </c>
      <c r="Y10" s="115">
        <f t="array" ref="Y10">SUMPRODUCT(--(UPPER(Y2:Y9)=$AE$2:$AE$9),--($AE$2:$AE$9&lt;&gt;""))+'MATA-MATA 32'!Y18</f>
        <v>50</v>
      </c>
      <c r="Z10" s="115">
        <f t="array" ref="Z10">SUMPRODUCT(--(UPPER(Z2:Z9)=$AE$2:$AE$9),--($AE$2:$AE$9&lt;&gt;""))+'MATA-MATA 32'!Z18</f>
        <v>48</v>
      </c>
      <c r="AA10" s="115">
        <f t="array" ref="AA10">SUMPRODUCT(--(UPPER(AA2:AA9)=$AE$2:$AE$9),--($AE$2:$AE$9&lt;&gt;""))+'MATA-MATA 32'!AA18</f>
        <v>53</v>
      </c>
      <c r="AB10" s="115">
        <f t="array" ref="AB10">SUMPRODUCT(--(UPPER(AB2:AB9)=$AE$2:$AE$9),--($AE$2:$AE$9&lt;&gt;""))+'MATA-MATA 32'!AB18</f>
        <v>45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 activeCell="G3" sqref="G3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thickBot="1" x14ac:dyDescent="0.3">
      <c r="A2" s="2">
        <v>46212</v>
      </c>
      <c r="B2" s="123" t="s">
        <v>178</v>
      </c>
      <c r="C2" s="124" t="str">
        <f>TRIM(LEFT(B2,FIND(" x ",B2)-1))</f>
        <v>França</v>
      </c>
      <c r="D2" s="124" t="str">
        <f>TRIM(MID(B2,FIND(" x ",B2)+3,100))</f>
        <v>Marrocos</v>
      </c>
      <c r="E2" s="125" t="s">
        <v>43</v>
      </c>
      <c r="F2" s="126"/>
      <c r="G2" s="127"/>
      <c r="H2" s="128"/>
      <c r="I2" s="129" t="s">
        <v>44</v>
      </c>
      <c r="J2" s="129" t="s">
        <v>44</v>
      </c>
      <c r="K2" s="129" t="s">
        <v>44</v>
      </c>
      <c r="L2" s="129" t="s">
        <v>44</v>
      </c>
      <c r="M2" s="129" t="s">
        <v>44</v>
      </c>
      <c r="N2" s="129" t="s">
        <v>44</v>
      </c>
      <c r="O2" s="129" t="s">
        <v>44</v>
      </c>
      <c r="P2" s="129" t="s">
        <v>44</v>
      </c>
      <c r="Q2" s="129" t="s">
        <v>44</v>
      </c>
      <c r="R2" s="129" t="s">
        <v>44</v>
      </c>
      <c r="S2" s="129" t="s">
        <v>45</v>
      </c>
      <c r="T2" s="129" t="s">
        <v>44</v>
      </c>
      <c r="U2" s="129" t="s">
        <v>44</v>
      </c>
      <c r="V2" s="129" t="s">
        <v>46</v>
      </c>
      <c r="W2" s="129" t="s">
        <v>44</v>
      </c>
      <c r="X2" s="129" t="s">
        <v>44</v>
      </c>
      <c r="Y2" s="129" t="s">
        <v>46</v>
      </c>
      <c r="Z2" s="129" t="s">
        <v>44</v>
      </c>
      <c r="AA2" s="129" t="s">
        <v>45</v>
      </c>
      <c r="AB2" s="129" t="s">
        <v>44</v>
      </c>
      <c r="AC2" s="131">
        <f>IFERROR(VALUE(TRIM(LEFT($E2,SEARCH("x",$E2)-1))),"")</f>
        <v>2</v>
      </c>
      <c r="AD2" s="41">
        <f>IFERROR(VALUE(TRIM(MID($E2,SEARCH("x",$E2)+1,10))),"")</f>
        <v>0</v>
      </c>
      <c r="AE2" s="113" t="str">
        <f>IF(OR($AC2="",$AD2=""),"",IF($AC2&gt;$AD2,"A",IF($AC2&lt;$AD2,"B","E")))</f>
        <v>A</v>
      </c>
    </row>
    <row r="3" spans="1:31" ht="15.75" customHeight="1" thickBot="1" x14ac:dyDescent="0.3">
      <c r="A3" s="2">
        <v>46213</v>
      </c>
      <c r="B3" s="132" t="s">
        <v>179</v>
      </c>
      <c r="C3" s="58" t="str">
        <f>TRIM(LEFT(B3,FIND(" x ",B3)-1))</f>
        <v>Noruega</v>
      </c>
      <c r="D3" s="58" t="str">
        <f>TRIM(MID(B3,FIND(" x ",B3)+3,100))</f>
        <v>Inglaterra</v>
      </c>
      <c r="E3" s="125" t="s">
        <v>50</v>
      </c>
      <c r="F3" s="126"/>
      <c r="G3" s="127" t="s">
        <v>45</v>
      </c>
      <c r="H3" s="133"/>
      <c r="I3" s="55" t="s">
        <v>45</v>
      </c>
      <c r="J3" s="104" t="s">
        <v>45</v>
      </c>
      <c r="K3" s="55" t="s">
        <v>45</v>
      </c>
      <c r="L3" s="55" t="s">
        <v>45</v>
      </c>
      <c r="M3" s="55" t="s">
        <v>46</v>
      </c>
      <c r="N3" s="55" t="s">
        <v>44</v>
      </c>
      <c r="O3" s="55" t="s">
        <v>45</v>
      </c>
      <c r="P3" s="55" t="s">
        <v>45</v>
      </c>
      <c r="Q3" s="55" t="s">
        <v>45</v>
      </c>
      <c r="R3" s="55"/>
      <c r="S3" s="55" t="s">
        <v>45</v>
      </c>
      <c r="T3" s="55" t="s">
        <v>44</v>
      </c>
      <c r="U3" s="55" t="s">
        <v>46</v>
      </c>
      <c r="V3" s="55" t="s">
        <v>45</v>
      </c>
      <c r="W3" s="55" t="s">
        <v>44</v>
      </c>
      <c r="X3" s="55" t="s">
        <v>44</v>
      </c>
      <c r="Y3" s="55" t="s">
        <v>46</v>
      </c>
      <c r="Z3" s="55" t="s">
        <v>44</v>
      </c>
      <c r="AA3" s="55" t="s">
        <v>44</v>
      </c>
      <c r="AB3" s="55" t="s">
        <v>44</v>
      </c>
      <c r="AC3" s="134">
        <f>IFERROR(VALUE(TRIM(LEFT($E3,SEARCH("x",$E3)-1))),"")</f>
        <v>1</v>
      </c>
      <c r="AD3" s="135">
        <f>IFERROR(VALUE(TRIM(MID($E3,SEARCH("x",$E3)+1,10))),"")</f>
        <v>1</v>
      </c>
      <c r="AE3" s="136" t="str">
        <f>IF(OR($AC3="",$AD3=""),"",IF($AC3&gt;$AD3,"A",IF($AC3&lt;$AD3,"B","E")))</f>
        <v>E</v>
      </c>
    </row>
    <row r="4" spans="1:31" ht="15.75" customHeight="1" thickBot="1" x14ac:dyDescent="0.3">
      <c r="A4" s="2">
        <v>46214</v>
      </c>
      <c r="B4" s="25" t="s">
        <v>180</v>
      </c>
      <c r="C4" s="26" t="str">
        <f>TRIM(LEFT(B4,FIND(" x ",B4)-1))</f>
        <v>Espanha</v>
      </c>
      <c r="D4" s="26" t="str">
        <f>TRIM(MID(B4,FIND(" x ",B4)+3,100))</f>
        <v>Bélgica</v>
      </c>
      <c r="E4" s="137" t="s">
        <v>48</v>
      </c>
      <c r="F4" s="126"/>
      <c r="G4" s="127"/>
      <c r="H4" s="133"/>
      <c r="I4" s="74" t="s">
        <v>44</v>
      </c>
      <c r="J4" s="74" t="s">
        <v>44</v>
      </c>
      <c r="K4" s="74" t="s">
        <v>44</v>
      </c>
      <c r="L4" s="74" t="s">
        <v>44</v>
      </c>
      <c r="M4" s="74" t="s">
        <v>46</v>
      </c>
      <c r="N4" s="74" t="s">
        <v>44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45</v>
      </c>
      <c r="V4" s="74" t="s">
        <v>44</v>
      </c>
      <c r="W4" s="74" t="s">
        <v>44</v>
      </c>
      <c r="X4" s="74" t="s">
        <v>44</v>
      </c>
      <c r="Y4" s="74" t="s">
        <v>46</v>
      </c>
      <c r="Z4" s="74" t="s">
        <v>44</v>
      </c>
      <c r="AA4" s="74" t="s">
        <v>44</v>
      </c>
      <c r="AB4" s="74" t="s">
        <v>44</v>
      </c>
      <c r="AC4" s="138">
        <f>IFERROR(VALUE(TRIM(LEFT($E4,SEARCH("x",$E4)-1))),"")</f>
        <v>2</v>
      </c>
      <c r="AD4" s="139">
        <f>IFERROR(VALUE(TRIM(MID($E4,SEARCH("x",$E4)+1,10))),"")</f>
        <v>1</v>
      </c>
      <c r="AE4" s="140" t="str">
        <f>IF(OR($AC4="",$AD4=""),"",IF($AC4&gt;$AD4,"A",IF($AC4&lt;$AD4,"B","E")))</f>
        <v>A</v>
      </c>
    </row>
    <row r="5" spans="1:31" ht="15.75" customHeight="1" thickBot="1" x14ac:dyDescent="0.3">
      <c r="A5" s="2">
        <v>46214</v>
      </c>
      <c r="B5" s="123" t="s">
        <v>181</v>
      </c>
      <c r="C5" s="124" t="str">
        <f>TRIM(LEFT(B5,FIND(" x ",B5)-1))</f>
        <v>Argentina</v>
      </c>
      <c r="D5" s="124" t="str">
        <f>TRIM(MID(B5,FIND(" x ",B5)+3,100))</f>
        <v>Suíça</v>
      </c>
      <c r="E5" s="137" t="s">
        <v>50</v>
      </c>
      <c r="F5" s="126"/>
      <c r="G5" s="127" t="s">
        <v>44</v>
      </c>
      <c r="H5" s="128"/>
      <c r="I5" s="38" t="s">
        <v>44</v>
      </c>
      <c r="J5" s="38" t="s">
        <v>44</v>
      </c>
      <c r="K5" s="38" t="s">
        <v>44</v>
      </c>
      <c r="L5" s="38" t="s">
        <v>46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45</v>
      </c>
      <c r="V5" s="38" t="s">
        <v>46</v>
      </c>
      <c r="W5" s="38" t="s">
        <v>44</v>
      </c>
      <c r="X5" s="38" t="s">
        <v>44</v>
      </c>
      <c r="Y5" s="38" t="s">
        <v>46</v>
      </c>
      <c r="Z5" s="38" t="s">
        <v>44</v>
      </c>
      <c r="AA5" s="38" t="s">
        <v>44</v>
      </c>
      <c r="AB5" s="38" t="s">
        <v>44</v>
      </c>
      <c r="AC5" s="141">
        <f>IFERROR(VALUE(TRIM(LEFT($E5,SEARCH("x",$E5)-1))),"")</f>
        <v>1</v>
      </c>
      <c r="AD5" s="142">
        <f>IFERROR(VALUE(TRIM(MID($E5,SEARCH("x",$E5)+1,10))),"")</f>
        <v>1</v>
      </c>
      <c r="AE5" s="143" t="str">
        <f>IF(OR($AC5="",$AD5=""),"",IF($AC5&gt;$AD5,"A",IF($AC5&lt;$AD5,"B","E")))</f>
        <v>E</v>
      </c>
    </row>
    <row r="6" spans="1:31" ht="15.75" customHeight="1" thickBot="1" x14ac:dyDescent="0.3">
      <c r="H6" s="144" t="s">
        <v>144</v>
      </c>
      <c r="I6" s="145">
        <f t="array" ref="I6">SUMPRODUCT(--(UPPER(I2:I5)=$AE$2:$AE$5),--($AE$2:$AE$5&lt;&gt;""))+'MATA-MATA 16'!I10</f>
        <v>61</v>
      </c>
      <c r="J6" s="115">
        <f t="array" ref="J6">SUMPRODUCT(--(UPPER(J2:J5)=$AE$2:$AE$5),--($AE$2:$AE$5&lt;&gt;""))+'MATA-MATA 16'!J10</f>
        <v>57</v>
      </c>
      <c r="K6" s="115">
        <f t="array" ref="K6">SUMPRODUCT(--(UPPER(K2:K5)=$AE$2:$AE$5),--($AE$2:$AE$5&lt;&gt;""))+'MATA-MATA 16'!K10</f>
        <v>59</v>
      </c>
      <c r="L6" s="115">
        <f t="array" ref="L6">SUMPRODUCT(--(UPPER(L2:L5)=$AE$2:$AE$5),--($AE$2:$AE$5&lt;&gt;""))+'MATA-MATA 16'!L10</f>
        <v>61</v>
      </c>
      <c r="M6" s="115">
        <f t="array" ref="M6">SUMPRODUCT(--(UPPER(M2:M5)=$AE$2:$AE$5),--($AE$2:$AE$5&lt;&gt;""))+'MATA-MATA 16'!M10</f>
        <v>56</v>
      </c>
      <c r="N6" s="115">
        <f t="array" ref="N6">SUMPRODUCT(--(UPPER(N2:N5)=$AE$2:$AE$5),--($AE$2:$AE$5&lt;&gt;""))+'MATA-MATA 16'!N10</f>
        <v>55</v>
      </c>
      <c r="O6" s="115">
        <f t="array" ref="O6">SUMPRODUCT(--(UPPER(O2:O5)=$AE$2:$AE$5),--($AE$2:$AE$5&lt;&gt;""))+'MATA-MATA 16'!O10</f>
        <v>61</v>
      </c>
      <c r="P6" s="115">
        <f t="array" ref="P6">SUMPRODUCT(--(UPPER(P2:P5)=$AE$2:$AE$5),--($AE$2:$AE$5&lt;&gt;""))+'MATA-MATA 16'!P10</f>
        <v>65</v>
      </c>
      <c r="Q6" s="115">
        <f t="array" ref="Q6">SUMPRODUCT(--(UPPER(Q2:Q5)=$AE$2:$AE$5),--($AE$2:$AE$5&lt;&gt;""))+'MATA-MATA 16'!Q10</f>
        <v>55</v>
      </c>
      <c r="R6" s="115">
        <f t="array" ref="R6">SUMPRODUCT(--(UPPER(R2:R5)=$AE$2:$AE$5),--($AE$2:$AE$5&lt;&gt;""))+'MATA-MATA 16'!R10</f>
        <v>57</v>
      </c>
      <c r="S6" s="115">
        <f t="array" ref="S6">SUMPRODUCT(--(UPPER(S2:S5)=$AE$2:$AE$5),--($AE$2:$AE$5&lt;&gt;""))+'MATA-MATA 16'!S10</f>
        <v>52</v>
      </c>
      <c r="T6" s="115">
        <f t="array" ref="T6">SUMPRODUCT(--(UPPER(T2:T5)=$AE$2:$AE$5),--($AE$2:$AE$5&lt;&gt;""))+'MATA-MATA 16'!T10</f>
        <v>47</v>
      </c>
      <c r="U6" s="115">
        <f t="array" ref="U6">SUMPRODUCT(--(UPPER(U2:U5)=$AE$2:$AE$5),--($AE$2:$AE$5&lt;&gt;""))+'MATA-MATA 16'!U10</f>
        <v>50</v>
      </c>
      <c r="V6" s="115">
        <f t="array" ref="V6">SUMPRODUCT(--(UPPER(V2:V5)=$AE$2:$AE$5),--($AE$2:$AE$5&lt;&gt;""))+'MATA-MATA 16'!V10</f>
        <v>54</v>
      </c>
      <c r="W6" s="115">
        <f t="array" ref="W6">SUMPRODUCT(--(UPPER(W2:W5)=$AE$2:$AE$5),--($AE$2:$AE$5&lt;&gt;""))+'MATA-MATA 16'!W10</f>
        <v>57</v>
      </c>
      <c r="X6" s="115">
        <f t="array" ref="X6">SUMPRODUCT(--(UPPER(X2:X5)=$AE$2:$AE$5),--($AE$2:$AE$5&lt;&gt;""))+'MATA-MATA 16'!X10</f>
        <v>56</v>
      </c>
      <c r="Y6" s="115">
        <f t="array" ref="Y6">SUMPRODUCT(--(UPPER(Y2:Y5)=$AE$2:$AE$5),--($AE$2:$AE$5&lt;&gt;""))+'MATA-MATA 16'!Y10</f>
        <v>52</v>
      </c>
      <c r="Z6" s="115">
        <f t="array" ref="Z6">SUMPRODUCT(--(UPPER(Z2:Z5)=$AE$2:$AE$5),--($AE$2:$AE$5&lt;&gt;""))+'MATA-MATA 16'!Z10</f>
        <v>50</v>
      </c>
      <c r="AA6" s="115">
        <f t="array" ref="AA6">SUMPRODUCT(--(UPPER(AA2:AA5)=$AE$2:$AE$5),--($AE$2:$AE$5&lt;&gt;""))+'MATA-MATA 16'!AA10</f>
        <v>54</v>
      </c>
      <c r="AB6" s="115">
        <f t="array" ref="AB6">SUMPRODUCT(--(UPPER(AB2:AB5)=$AE$2:$AE$5),--($AE$2:$AE$5&lt;&gt;""))+'MATA-MATA 16'!AB10</f>
        <v>47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tabSelected="1" zoomScaleNormal="100" workbookViewId="0">
      <pane ySplit="1" topLeftCell="A2" activePane="bottomLeft" state="frozen"/>
      <selection pane="bottomLeft" activeCell="C11" sqref="C11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182</v>
      </c>
      <c r="C2" s="124" t="str">
        <f>TRIM(LEFT(B2,FIND(" x ",B2)-1))</f>
        <v>França</v>
      </c>
      <c r="D2" s="124" t="str">
        <f>TRIM(MID(B2,FIND(" x ",B2)+3,100))</f>
        <v>Espanha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183</v>
      </c>
      <c r="C3" s="58" t="str">
        <f>TRIM(LEFT(B3,FIND(" x ",B3)-1))</f>
        <v>Inglaterra</v>
      </c>
      <c r="D3" s="58" t="str">
        <f>TRIM(MID(B3,FIND(" x ",B3)+3,100))</f>
        <v>Argentina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61</v>
      </c>
      <c r="J4" s="115">
        <f t="array" ref="J4">SUMPRODUCT(--(UPPER(J2:J3)=$AE$2:$AE$3),--($AE$2:$AE$3&lt;&gt;""))+'MATA-MATA 8'!J6</f>
        <v>57</v>
      </c>
      <c r="K4" s="115">
        <f t="array" ref="K4">SUMPRODUCT(--(UPPER(K2:K3)=$AE$2:$AE$3),--($AE$2:$AE$3&lt;&gt;""))+'MATA-MATA 8'!K6</f>
        <v>59</v>
      </c>
      <c r="L4" s="115">
        <f t="array" ref="L4">SUMPRODUCT(--(UPPER(L2:L3)=$AE$2:$AE$3),--($AE$2:$AE$3&lt;&gt;""))+'MATA-MATA 8'!L6</f>
        <v>61</v>
      </c>
      <c r="M4" s="115">
        <f t="array" ref="M4">SUMPRODUCT(--(UPPER(M2:M3)=$AE$2:$AE$3),--($AE$2:$AE$3&lt;&gt;""))+'MATA-MATA 8'!M6</f>
        <v>56</v>
      </c>
      <c r="N4" s="115">
        <f t="array" ref="N4">SUMPRODUCT(--(UPPER(N2:N3)=$AE$2:$AE$3),--($AE$2:$AE$3&lt;&gt;""))+'MATA-MATA 8'!N6</f>
        <v>55</v>
      </c>
      <c r="O4" s="115">
        <f t="array" ref="O4">SUMPRODUCT(--(UPPER(O2:O3)=$AE$2:$AE$3),--($AE$2:$AE$3&lt;&gt;""))+'MATA-MATA 8'!O6</f>
        <v>61</v>
      </c>
      <c r="P4" s="115">
        <f t="array" ref="P4">SUMPRODUCT(--(UPPER(P2:P3)=$AE$2:$AE$3),--($AE$2:$AE$3&lt;&gt;""))+'MATA-MATA 8'!P6</f>
        <v>65</v>
      </c>
      <c r="Q4" s="115">
        <f t="array" ref="Q4">SUMPRODUCT(--(UPPER(Q2:Q3)=$AE$2:$AE$3),--($AE$2:$AE$3&lt;&gt;""))+'MATA-MATA 8'!Q6</f>
        <v>55</v>
      </c>
      <c r="R4" s="115">
        <f t="array" ref="R4">SUMPRODUCT(--(UPPER(R2:R3)=$AE$2:$AE$3),--($AE$2:$AE$3&lt;&gt;""))+'MATA-MATA 8'!R6</f>
        <v>57</v>
      </c>
      <c r="S4" s="115">
        <f t="array" ref="S4">SUMPRODUCT(--(UPPER(S2:S3)=$AE$2:$AE$3),--($AE$2:$AE$3&lt;&gt;""))+'MATA-MATA 8'!S6</f>
        <v>52</v>
      </c>
      <c r="T4" s="115">
        <f t="array" ref="T4">SUMPRODUCT(--(UPPER(T2:T3)=$AE$2:$AE$3),--($AE$2:$AE$3&lt;&gt;""))+'MATA-MATA 8'!T6</f>
        <v>47</v>
      </c>
      <c r="U4" s="115">
        <f t="array" ref="U4">SUMPRODUCT(--(UPPER(U2:U3)=$AE$2:$AE$3),--($AE$2:$AE$3&lt;&gt;""))+'MATA-MATA 8'!U6</f>
        <v>50</v>
      </c>
      <c r="V4" s="115">
        <f t="array" ref="V4">SUMPRODUCT(--(UPPER(V2:V3)=$AE$2:$AE$3),--($AE$2:$AE$3&lt;&gt;""))+'MATA-MATA 8'!V6</f>
        <v>54</v>
      </c>
      <c r="W4" s="115">
        <f t="array" ref="W4">SUMPRODUCT(--(UPPER(W2:W3)=$AE$2:$AE$3),--($AE$2:$AE$3&lt;&gt;""))+'MATA-MATA 8'!W6</f>
        <v>57</v>
      </c>
      <c r="X4" s="115">
        <f t="array" ref="X4">SUMPRODUCT(--(UPPER(X2:X3)=$AE$2:$AE$3),--($AE$2:$AE$3&lt;&gt;""))+'MATA-MATA 8'!X6</f>
        <v>56</v>
      </c>
      <c r="Y4" s="115">
        <f t="array" ref="Y4">SUMPRODUCT(--(UPPER(Y2:Y3)=$AE$2:$AE$3),--($AE$2:$AE$3&lt;&gt;""))+'MATA-MATA 8'!Y6</f>
        <v>52</v>
      </c>
      <c r="Z4" s="115">
        <f t="array" ref="Z4">SUMPRODUCT(--(UPPER(Z2:Z3)=$AE$2:$AE$3),--($AE$2:$AE$3&lt;&gt;""))+'MATA-MATA 8'!Z6</f>
        <v>50</v>
      </c>
      <c r="AA4" s="115">
        <f t="array" ref="AA4">SUMPRODUCT(--(UPPER(AA2:AA3)=$AE$2:$AE$3),--($AE$2:$AE$3&lt;&gt;""))+'MATA-MATA 8'!AA6</f>
        <v>54</v>
      </c>
      <c r="AB4" s="115">
        <f t="array" ref="AB4">SUMPRODUCT(--(UPPER(AB2:AB3)=$AE$2:$AE$3),--($AE$2:$AE$3&lt;&gt;""))+'MATA-MATA 8'!AB6</f>
        <v>47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61</v>
      </c>
      <c r="J3" s="115">
        <f t="array" ref="J3">SUMPRODUCT(--(UPPER(J2:J2)=$AE$2:$AE$2),--($AE$2:$AE$2&lt;&gt;""))+'MATA-MATA 4'!J4</f>
        <v>57</v>
      </c>
      <c r="K3" s="115">
        <f t="array" ref="K3">SUMPRODUCT(--(UPPER(K2:K2)=$AE$2:$AE$2),--($AE$2:$AE$2&lt;&gt;""))+'MATA-MATA 4'!K4</f>
        <v>59</v>
      </c>
      <c r="L3" s="115">
        <f t="array" ref="L3">SUMPRODUCT(--(UPPER(L2:L2)=$AE$2:$AE$2),--($AE$2:$AE$2&lt;&gt;""))+'MATA-MATA 4'!L4</f>
        <v>61</v>
      </c>
      <c r="M3" s="115">
        <f t="array" ref="M3">SUMPRODUCT(--(UPPER(M2:M2)=$AE$2:$AE$2),--($AE$2:$AE$2&lt;&gt;""))+'MATA-MATA 4'!M4</f>
        <v>56</v>
      </c>
      <c r="N3" s="115">
        <f t="array" ref="N3">SUMPRODUCT(--(UPPER(N2:N2)=$AE$2:$AE$2),--($AE$2:$AE$2&lt;&gt;""))+'MATA-MATA 4'!N4</f>
        <v>55</v>
      </c>
      <c r="O3" s="115">
        <f t="array" ref="O3">SUMPRODUCT(--(UPPER(O2:O2)=$AE$2:$AE$2),--($AE$2:$AE$2&lt;&gt;""))+'MATA-MATA 4'!O4</f>
        <v>61</v>
      </c>
      <c r="P3" s="115">
        <f t="array" ref="P3">SUMPRODUCT(--(UPPER(P2:P2)=$AE$2:$AE$2),--($AE$2:$AE$2&lt;&gt;""))+'MATA-MATA 4'!P4</f>
        <v>65</v>
      </c>
      <c r="Q3" s="115">
        <f t="array" ref="Q3">SUMPRODUCT(--(UPPER(Q2:Q2)=$AE$2:$AE$2),--($AE$2:$AE$2&lt;&gt;""))+'MATA-MATA 4'!Q4</f>
        <v>55</v>
      </c>
      <c r="R3" s="115">
        <f t="array" ref="R3">SUMPRODUCT(--(UPPER(R2:R2)=$AE$2:$AE$2),--($AE$2:$AE$2&lt;&gt;""))+'MATA-MATA 4'!R4</f>
        <v>57</v>
      </c>
      <c r="S3" s="115">
        <f t="array" ref="S3">SUMPRODUCT(--(UPPER(S2:S2)=$AE$2:$AE$2),--($AE$2:$AE$2&lt;&gt;""))+'MATA-MATA 4'!S4</f>
        <v>52</v>
      </c>
      <c r="T3" s="115">
        <f t="array" ref="T3">SUMPRODUCT(--(UPPER(T2:T2)=$AE$2:$AE$2),--($AE$2:$AE$2&lt;&gt;""))+'MATA-MATA 4'!T4</f>
        <v>47</v>
      </c>
      <c r="U3" s="115">
        <f t="array" ref="U3">SUMPRODUCT(--(UPPER(U2:U2)=$AE$2:$AE$2),--($AE$2:$AE$2&lt;&gt;""))+'MATA-MATA 4'!U4</f>
        <v>50</v>
      </c>
      <c r="V3" s="115">
        <f t="array" ref="V3">SUMPRODUCT(--(UPPER(V2:V2)=$AE$2:$AE$2),--($AE$2:$AE$2&lt;&gt;""))+'MATA-MATA 4'!V4</f>
        <v>54</v>
      </c>
      <c r="W3" s="115">
        <f t="array" ref="W3">SUMPRODUCT(--(UPPER(W2:W2)=$AE$2:$AE$2),--($AE$2:$AE$2&lt;&gt;""))+'MATA-MATA 4'!W4</f>
        <v>57</v>
      </c>
      <c r="X3" s="115">
        <f t="array" ref="X3">SUMPRODUCT(--(UPPER(X2:X2)=$AE$2:$AE$2),--($AE$2:$AE$2&lt;&gt;""))+'MATA-MATA 4'!X4</f>
        <v>56</v>
      </c>
      <c r="Y3" s="115">
        <f t="array" ref="Y3">SUMPRODUCT(--(UPPER(Y2:Y2)=$AE$2:$AE$2),--($AE$2:$AE$2&lt;&gt;""))+'MATA-MATA 4'!Y4</f>
        <v>52</v>
      </c>
      <c r="Z3" s="115">
        <f t="array" ref="Z3">SUMPRODUCT(--(UPPER(Z2:Z2)=$AE$2:$AE$2),--($AE$2:$AE$2&lt;&gt;""))+'MATA-MATA 4'!Z4</f>
        <v>50</v>
      </c>
      <c r="AA3" s="115">
        <f t="array" ref="AA3">SUMPRODUCT(--(UPPER(AA2:AA2)=$AE$2:$AE$2),--($AE$2:$AE$2&lt;&gt;""))+'MATA-MATA 4'!AA4</f>
        <v>54</v>
      </c>
      <c r="AB3" s="115">
        <f t="array" ref="AB3">SUMPRODUCT(--(UPPER(AB2:AB2)=$AE$2:$AE$2),--($AE$2:$AE$2&lt;&gt;""))+'MATA-MATA 4'!AB4</f>
        <v>47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2026-07-12T05:06:10Z</dcterms:modified>
  <dc:language>en-US</dc:language>
</cp:coreProperties>
</file>